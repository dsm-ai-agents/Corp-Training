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trlProps/ctrlProp1.xml" ContentType="application/vnd.ms-excel.controlproperti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3bf5775d666102/ZZ_Less_Freq/__DSM_LMS_Courses/5_4_Predictive_Supervised/L0 Intuition with Excel/1_Regression/"/>
    </mc:Choice>
  </mc:AlternateContent>
  <xr:revisionPtr revIDLastSave="12" documentId="13_ncr:1_{DF4D6D7C-ED93-4FDD-9A97-111DA19108E6}" xr6:coauthVersionLast="47" xr6:coauthVersionMax="47" xr10:uidLastSave="{20EAA1EC-3A89-4623-81E5-863418EEB22F}"/>
  <bookViews>
    <workbookView xWindow="9510" yWindow="-90" windowWidth="19380" windowHeight="10530" xr2:uid="{23917D7D-B777-4EA8-A31B-9A2D868B7DDC}"/>
  </bookViews>
  <sheets>
    <sheet name="UserInterface" sheetId="9" r:id="rId1"/>
    <sheet name="Data" sheetId="1" r:id="rId2"/>
    <sheet name="Regression" sheetId="3" r:id="rId3"/>
    <sheet name="Regression_LSq" sheetId="2" r:id="rId4"/>
    <sheet name="LeastSquares" sheetId="8" r:id="rId5"/>
    <sheet name="Accuracy" sheetId="5" r:id="rId6"/>
  </sheets>
  <definedNames>
    <definedName name="Campaings">Data!$A$2:$A$1048576</definedName>
    <definedName name="facebook">Data!$D$2:$D$1048576</definedName>
    <definedName name="newspaper">Data!$E$2:$E$1048576</definedName>
    <definedName name="sales">Data!$B$2:$B$1048576</definedName>
    <definedName name="solver_adj" localSheetId="2" hidden="1">Regression!$B$2:$E$2</definedName>
    <definedName name="solver_adj" localSheetId="3" hidden="1">Regression_LSq!$B$2:$E$2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est" localSheetId="3" hidden="1">1</definedName>
    <definedName name="solver_itr" localSheetId="2" hidden="1">2147483647</definedName>
    <definedName name="solver_itr" localSheetId="3" hidden="1">2147483647</definedName>
    <definedName name="solver_lhs1" localSheetId="3" hidden="1">Regression_LSq!$C$2</definedName>
    <definedName name="solver_lhs2" localSheetId="3" hidden="1">Regression_LSq!$C$2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2" hidden="1">2</definedName>
    <definedName name="solver_neg" localSheetId="3" hidden="1">2</definedName>
    <definedName name="solver_nod" localSheetId="2" hidden="1">2147483647</definedName>
    <definedName name="solver_nod" localSheetId="3" hidden="1">2147483647</definedName>
    <definedName name="solver_num" localSheetId="2" hidden="1">0</definedName>
    <definedName name="solver_num" localSheetId="3" hidden="1">0</definedName>
    <definedName name="solver_nwt" localSheetId="2" hidden="1">1</definedName>
    <definedName name="solver_nwt" localSheetId="3" hidden="1">1</definedName>
    <definedName name="solver_opt" localSheetId="2" hidden="1">Regression!$H$2</definedName>
    <definedName name="solver_opt" localSheetId="3" hidden="1">Regression_LSq!#REF!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el1" localSheetId="3" hidden="1">3</definedName>
    <definedName name="solver_rel2" localSheetId="3" hidden="1">3</definedName>
    <definedName name="solver_rhs1" localSheetId="3" hidden="1">0</definedName>
    <definedName name="solver_rhs2" localSheetId="3" hidden="1">0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1</definedName>
    <definedName name="solver_scl" localSheetId="3" hidden="1">1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2147483647</definedName>
    <definedName name="solver_tim" localSheetId="3" hidden="1">2147483647</definedName>
    <definedName name="solver_tol" localSheetId="2" hidden="1">0.01</definedName>
    <definedName name="solver_tol" localSheetId="3" hidden="1">0.01</definedName>
    <definedName name="solver_typ" localSheetId="2" hidden="1">2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2" hidden="1">3</definedName>
    <definedName name="solver_ver" localSheetId="3" hidden="1">3</definedName>
    <definedName name="youtube">Data!$C$2:$C$1048576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9" l="1"/>
  <c r="B10" i="9"/>
  <c r="C1" i="5" l="1"/>
  <c r="B201" i="5"/>
  <c r="A201" i="5"/>
  <c r="B200" i="5"/>
  <c r="A200" i="5"/>
  <c r="B199" i="5"/>
  <c r="A199" i="5"/>
  <c r="B198" i="5"/>
  <c r="A198" i="5"/>
  <c r="B197" i="5"/>
  <c r="A197" i="5"/>
  <c r="B196" i="5"/>
  <c r="A196" i="5"/>
  <c r="B195" i="5"/>
  <c r="A195" i="5"/>
  <c r="B194" i="5"/>
  <c r="A194" i="5"/>
  <c r="B193" i="5"/>
  <c r="A193" i="5"/>
  <c r="B192" i="5"/>
  <c r="A192" i="5"/>
  <c r="B191" i="5"/>
  <c r="A191" i="5"/>
  <c r="B190" i="5"/>
  <c r="A190" i="5"/>
  <c r="B189" i="5"/>
  <c r="A189" i="5"/>
  <c r="B188" i="5"/>
  <c r="A188" i="5"/>
  <c r="B187" i="5"/>
  <c r="A187" i="5"/>
  <c r="B186" i="5"/>
  <c r="A186" i="5"/>
  <c r="B185" i="5"/>
  <c r="A185" i="5"/>
  <c r="B184" i="5"/>
  <c r="A184" i="5"/>
  <c r="B183" i="5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B1" i="5"/>
  <c r="A1" i="5"/>
  <c r="I1" i="8" a="1"/>
  <c r="H2" i="1"/>
  <c r="H3" i="1"/>
  <c r="K2" i="1"/>
  <c r="K4" i="1"/>
  <c r="K3" i="1"/>
  <c r="H4" i="1"/>
  <c r="A2" i="2" l="1"/>
  <c r="F27" i="3"/>
  <c r="G27" i="3" s="1"/>
  <c r="H27" i="3" s="1"/>
  <c r="F28" i="3"/>
  <c r="G28" i="3" s="1"/>
  <c r="H28" i="3" s="1"/>
  <c r="F29" i="3"/>
  <c r="G29" i="3" s="1"/>
  <c r="H29" i="3" s="1"/>
  <c r="F30" i="3"/>
  <c r="G30" i="3" s="1"/>
  <c r="H30" i="3" s="1"/>
  <c r="F31" i="3"/>
  <c r="G31" i="3" s="1"/>
  <c r="H31" i="3" s="1"/>
  <c r="F32" i="3"/>
  <c r="G32" i="3" s="1"/>
  <c r="H32" i="3" s="1"/>
  <c r="F33" i="3"/>
  <c r="G33" i="3" s="1"/>
  <c r="H33" i="3" s="1"/>
  <c r="F34" i="3"/>
  <c r="G34" i="3" s="1"/>
  <c r="H34" i="3" s="1"/>
  <c r="F35" i="3"/>
  <c r="G35" i="3" s="1"/>
  <c r="H35" i="3" s="1"/>
  <c r="F36" i="3"/>
  <c r="G36" i="3" s="1"/>
  <c r="H36" i="3" s="1"/>
  <c r="F37" i="3"/>
  <c r="G37" i="3" s="1"/>
  <c r="H37" i="3" s="1"/>
  <c r="F38" i="3"/>
  <c r="G38" i="3" s="1"/>
  <c r="H38" i="3" s="1"/>
  <c r="F39" i="3"/>
  <c r="G39" i="3" s="1"/>
  <c r="H39" i="3" s="1"/>
  <c r="F40" i="3"/>
  <c r="G40" i="3" s="1"/>
  <c r="H40" i="3" s="1"/>
  <c r="F41" i="3"/>
  <c r="G41" i="3" s="1"/>
  <c r="H41" i="3" s="1"/>
  <c r="F42" i="3"/>
  <c r="G42" i="3" s="1"/>
  <c r="H42" i="3" s="1"/>
  <c r="F43" i="3"/>
  <c r="G43" i="3" s="1"/>
  <c r="H43" i="3" s="1"/>
  <c r="F44" i="3"/>
  <c r="G44" i="3" s="1"/>
  <c r="H44" i="3" s="1"/>
  <c r="F45" i="3"/>
  <c r="G45" i="3" s="1"/>
  <c r="H45" i="3" s="1"/>
  <c r="F46" i="3"/>
  <c r="G46" i="3" s="1"/>
  <c r="H46" i="3" s="1"/>
  <c r="F47" i="3"/>
  <c r="G47" i="3" s="1"/>
  <c r="H47" i="3" s="1"/>
  <c r="F48" i="3"/>
  <c r="G48" i="3" s="1"/>
  <c r="H48" i="3" s="1"/>
  <c r="F49" i="3"/>
  <c r="G49" i="3" s="1"/>
  <c r="H49" i="3" s="1"/>
  <c r="F50" i="3"/>
  <c r="G50" i="3" s="1"/>
  <c r="H50" i="3" s="1"/>
  <c r="F51" i="3"/>
  <c r="G51" i="3" s="1"/>
  <c r="H51" i="3" s="1"/>
  <c r="F52" i="3"/>
  <c r="G52" i="3" s="1"/>
  <c r="H52" i="3" s="1"/>
  <c r="F53" i="3"/>
  <c r="G53" i="3" s="1"/>
  <c r="H53" i="3" s="1"/>
  <c r="F54" i="3"/>
  <c r="G54" i="3" s="1"/>
  <c r="H54" i="3" s="1"/>
  <c r="F55" i="3"/>
  <c r="G55" i="3" s="1"/>
  <c r="H55" i="3" s="1"/>
  <c r="F56" i="3"/>
  <c r="G56" i="3" s="1"/>
  <c r="H56" i="3" s="1"/>
  <c r="F57" i="3"/>
  <c r="G57" i="3" s="1"/>
  <c r="H57" i="3" s="1"/>
  <c r="F58" i="3"/>
  <c r="G58" i="3" s="1"/>
  <c r="H58" i="3" s="1"/>
  <c r="F59" i="3"/>
  <c r="G59" i="3" s="1"/>
  <c r="H59" i="3" s="1"/>
  <c r="F60" i="3"/>
  <c r="G60" i="3" s="1"/>
  <c r="H60" i="3" s="1"/>
  <c r="F61" i="3"/>
  <c r="G61" i="3" s="1"/>
  <c r="H61" i="3" s="1"/>
  <c r="F62" i="3"/>
  <c r="G62" i="3" s="1"/>
  <c r="H62" i="3" s="1"/>
  <c r="F63" i="3"/>
  <c r="G63" i="3" s="1"/>
  <c r="H63" i="3" s="1"/>
  <c r="F64" i="3"/>
  <c r="G64" i="3" s="1"/>
  <c r="H64" i="3" s="1"/>
  <c r="F65" i="3"/>
  <c r="G65" i="3" s="1"/>
  <c r="H65" i="3" s="1"/>
  <c r="F66" i="3"/>
  <c r="G66" i="3" s="1"/>
  <c r="H66" i="3" s="1"/>
  <c r="F67" i="3"/>
  <c r="G67" i="3" s="1"/>
  <c r="H67" i="3" s="1"/>
  <c r="F68" i="3"/>
  <c r="G68" i="3" s="1"/>
  <c r="H68" i="3" s="1"/>
  <c r="F69" i="3"/>
  <c r="G69" i="3" s="1"/>
  <c r="H69" i="3" s="1"/>
  <c r="F70" i="3"/>
  <c r="G70" i="3" s="1"/>
  <c r="H70" i="3" s="1"/>
  <c r="F71" i="3"/>
  <c r="G71" i="3" s="1"/>
  <c r="H71" i="3" s="1"/>
  <c r="F72" i="3"/>
  <c r="G72" i="3" s="1"/>
  <c r="H72" i="3" s="1"/>
  <c r="F73" i="3"/>
  <c r="G73" i="3" s="1"/>
  <c r="H73" i="3" s="1"/>
  <c r="F74" i="3"/>
  <c r="G74" i="3" s="1"/>
  <c r="H74" i="3" s="1"/>
  <c r="F75" i="3"/>
  <c r="G75" i="3" s="1"/>
  <c r="H75" i="3" s="1"/>
  <c r="F76" i="3"/>
  <c r="G76" i="3" s="1"/>
  <c r="H76" i="3" s="1"/>
  <c r="F77" i="3"/>
  <c r="G77" i="3" s="1"/>
  <c r="H77" i="3" s="1"/>
  <c r="F78" i="3"/>
  <c r="G78" i="3" s="1"/>
  <c r="H78" i="3" s="1"/>
  <c r="F79" i="3"/>
  <c r="G79" i="3" s="1"/>
  <c r="H79" i="3" s="1"/>
  <c r="F80" i="3"/>
  <c r="G80" i="3" s="1"/>
  <c r="H80" i="3" s="1"/>
  <c r="F81" i="3"/>
  <c r="G81" i="3" s="1"/>
  <c r="H81" i="3" s="1"/>
  <c r="F82" i="3"/>
  <c r="G82" i="3" s="1"/>
  <c r="H82" i="3" s="1"/>
  <c r="F83" i="3"/>
  <c r="G83" i="3" s="1"/>
  <c r="H83" i="3" s="1"/>
  <c r="F84" i="3"/>
  <c r="G84" i="3" s="1"/>
  <c r="H84" i="3" s="1"/>
  <c r="F85" i="3"/>
  <c r="G85" i="3" s="1"/>
  <c r="H85" i="3" s="1"/>
  <c r="F86" i="3"/>
  <c r="G86" i="3" s="1"/>
  <c r="H86" i="3" s="1"/>
  <c r="F87" i="3"/>
  <c r="G87" i="3" s="1"/>
  <c r="H87" i="3" s="1"/>
  <c r="F88" i="3"/>
  <c r="G88" i="3" s="1"/>
  <c r="H88" i="3" s="1"/>
  <c r="F89" i="3"/>
  <c r="G89" i="3" s="1"/>
  <c r="H89" i="3" s="1"/>
  <c r="F90" i="3"/>
  <c r="G90" i="3" s="1"/>
  <c r="H90" i="3" s="1"/>
  <c r="F91" i="3"/>
  <c r="G91" i="3" s="1"/>
  <c r="H91" i="3" s="1"/>
  <c r="F92" i="3"/>
  <c r="G92" i="3" s="1"/>
  <c r="H92" i="3" s="1"/>
  <c r="F93" i="3"/>
  <c r="G93" i="3" s="1"/>
  <c r="H93" i="3" s="1"/>
  <c r="F94" i="3"/>
  <c r="G94" i="3" s="1"/>
  <c r="H94" i="3" s="1"/>
  <c r="F95" i="3"/>
  <c r="G95" i="3" s="1"/>
  <c r="H95" i="3" s="1"/>
  <c r="F96" i="3"/>
  <c r="G96" i="3" s="1"/>
  <c r="H96" i="3" s="1"/>
  <c r="F97" i="3"/>
  <c r="G97" i="3" s="1"/>
  <c r="H97" i="3" s="1"/>
  <c r="F98" i="3"/>
  <c r="G98" i="3" s="1"/>
  <c r="H98" i="3" s="1"/>
  <c r="F99" i="3"/>
  <c r="G99" i="3" s="1"/>
  <c r="H99" i="3" s="1"/>
  <c r="F100" i="3"/>
  <c r="G100" i="3" s="1"/>
  <c r="H100" i="3" s="1"/>
  <c r="F101" i="3"/>
  <c r="G101" i="3" s="1"/>
  <c r="H101" i="3" s="1"/>
  <c r="F102" i="3"/>
  <c r="G102" i="3" s="1"/>
  <c r="H102" i="3" s="1"/>
  <c r="F103" i="3"/>
  <c r="G103" i="3" s="1"/>
  <c r="H103" i="3" s="1"/>
  <c r="F104" i="3"/>
  <c r="G104" i="3" s="1"/>
  <c r="H104" i="3" s="1"/>
  <c r="F105" i="3"/>
  <c r="G105" i="3" s="1"/>
  <c r="H105" i="3" s="1"/>
  <c r="F106" i="3"/>
  <c r="G106" i="3" s="1"/>
  <c r="H106" i="3" s="1"/>
  <c r="F107" i="3"/>
  <c r="G107" i="3" s="1"/>
  <c r="H107" i="3" s="1"/>
  <c r="F108" i="3"/>
  <c r="G108" i="3" s="1"/>
  <c r="H108" i="3" s="1"/>
  <c r="F109" i="3"/>
  <c r="G109" i="3" s="1"/>
  <c r="H109" i="3" s="1"/>
  <c r="F110" i="3"/>
  <c r="G110" i="3" s="1"/>
  <c r="H110" i="3" s="1"/>
  <c r="F111" i="3"/>
  <c r="G111" i="3" s="1"/>
  <c r="H111" i="3" s="1"/>
  <c r="F112" i="3"/>
  <c r="G112" i="3" s="1"/>
  <c r="H112" i="3" s="1"/>
  <c r="F113" i="3"/>
  <c r="G113" i="3" s="1"/>
  <c r="H113" i="3" s="1"/>
  <c r="F114" i="3"/>
  <c r="G114" i="3" s="1"/>
  <c r="H114" i="3" s="1"/>
  <c r="F115" i="3"/>
  <c r="G115" i="3" s="1"/>
  <c r="H115" i="3" s="1"/>
  <c r="F116" i="3"/>
  <c r="G116" i="3" s="1"/>
  <c r="H116" i="3" s="1"/>
  <c r="F117" i="3"/>
  <c r="G117" i="3" s="1"/>
  <c r="H117" i="3" s="1"/>
  <c r="F118" i="3"/>
  <c r="G118" i="3" s="1"/>
  <c r="H118" i="3" s="1"/>
  <c r="F119" i="3"/>
  <c r="G119" i="3" s="1"/>
  <c r="H119" i="3" s="1"/>
  <c r="F120" i="3"/>
  <c r="G120" i="3" s="1"/>
  <c r="H120" i="3" s="1"/>
  <c r="F121" i="3"/>
  <c r="G121" i="3" s="1"/>
  <c r="H121" i="3" s="1"/>
  <c r="F122" i="3"/>
  <c r="G122" i="3" s="1"/>
  <c r="H122" i="3" s="1"/>
  <c r="F123" i="3"/>
  <c r="G123" i="3" s="1"/>
  <c r="H123" i="3" s="1"/>
  <c r="F124" i="3"/>
  <c r="G124" i="3" s="1"/>
  <c r="H124" i="3" s="1"/>
  <c r="F125" i="3"/>
  <c r="G125" i="3" s="1"/>
  <c r="H125" i="3" s="1"/>
  <c r="F126" i="3"/>
  <c r="G126" i="3" s="1"/>
  <c r="H126" i="3" s="1"/>
  <c r="F127" i="3"/>
  <c r="G127" i="3" s="1"/>
  <c r="H127" i="3" s="1"/>
  <c r="F128" i="3"/>
  <c r="G128" i="3" s="1"/>
  <c r="H128" i="3" s="1"/>
  <c r="F129" i="3"/>
  <c r="G129" i="3" s="1"/>
  <c r="H129" i="3" s="1"/>
  <c r="F130" i="3"/>
  <c r="G130" i="3" s="1"/>
  <c r="H130" i="3" s="1"/>
  <c r="F131" i="3"/>
  <c r="G131" i="3" s="1"/>
  <c r="H131" i="3" s="1"/>
  <c r="F132" i="3"/>
  <c r="G132" i="3" s="1"/>
  <c r="H132" i="3" s="1"/>
  <c r="F133" i="3"/>
  <c r="G133" i="3" s="1"/>
  <c r="H133" i="3" s="1"/>
  <c r="F134" i="3"/>
  <c r="G134" i="3" s="1"/>
  <c r="H134" i="3" s="1"/>
  <c r="F135" i="3"/>
  <c r="G135" i="3" s="1"/>
  <c r="H135" i="3" s="1"/>
  <c r="F136" i="3"/>
  <c r="G136" i="3" s="1"/>
  <c r="H136" i="3" s="1"/>
  <c r="F137" i="3"/>
  <c r="G137" i="3" s="1"/>
  <c r="H137" i="3" s="1"/>
  <c r="F138" i="3"/>
  <c r="G138" i="3" s="1"/>
  <c r="H138" i="3" s="1"/>
  <c r="F139" i="3"/>
  <c r="G139" i="3" s="1"/>
  <c r="H139" i="3" s="1"/>
  <c r="F140" i="3"/>
  <c r="G140" i="3" s="1"/>
  <c r="H140" i="3" s="1"/>
  <c r="F141" i="3"/>
  <c r="G141" i="3" s="1"/>
  <c r="H141" i="3" s="1"/>
  <c r="F142" i="3"/>
  <c r="G142" i="3" s="1"/>
  <c r="H142" i="3" s="1"/>
  <c r="F143" i="3"/>
  <c r="G143" i="3" s="1"/>
  <c r="H143" i="3" s="1"/>
  <c r="F144" i="3"/>
  <c r="G144" i="3" s="1"/>
  <c r="H144" i="3" s="1"/>
  <c r="F145" i="3"/>
  <c r="G145" i="3" s="1"/>
  <c r="H145" i="3" s="1"/>
  <c r="F146" i="3"/>
  <c r="G146" i="3" s="1"/>
  <c r="H146" i="3" s="1"/>
  <c r="F147" i="3"/>
  <c r="G147" i="3" s="1"/>
  <c r="H147" i="3" s="1"/>
  <c r="F148" i="3"/>
  <c r="G148" i="3" s="1"/>
  <c r="H148" i="3" s="1"/>
  <c r="F149" i="3"/>
  <c r="G149" i="3" s="1"/>
  <c r="H149" i="3" s="1"/>
  <c r="F150" i="3"/>
  <c r="G150" i="3" s="1"/>
  <c r="H150" i="3" s="1"/>
  <c r="F151" i="3"/>
  <c r="G151" i="3" s="1"/>
  <c r="H151" i="3" s="1"/>
  <c r="F152" i="3"/>
  <c r="G152" i="3" s="1"/>
  <c r="H152" i="3" s="1"/>
  <c r="F153" i="3"/>
  <c r="G153" i="3" s="1"/>
  <c r="H153" i="3" s="1"/>
  <c r="F154" i="3"/>
  <c r="G154" i="3" s="1"/>
  <c r="H154" i="3" s="1"/>
  <c r="F155" i="3"/>
  <c r="G155" i="3" s="1"/>
  <c r="H155" i="3" s="1"/>
  <c r="F156" i="3"/>
  <c r="G156" i="3" s="1"/>
  <c r="H156" i="3" s="1"/>
  <c r="F157" i="3"/>
  <c r="G157" i="3" s="1"/>
  <c r="H157" i="3" s="1"/>
  <c r="F158" i="3"/>
  <c r="G158" i="3" s="1"/>
  <c r="H158" i="3" s="1"/>
  <c r="F159" i="3"/>
  <c r="G159" i="3" s="1"/>
  <c r="H159" i="3" s="1"/>
  <c r="F160" i="3"/>
  <c r="G160" i="3" s="1"/>
  <c r="H160" i="3" s="1"/>
  <c r="F161" i="3"/>
  <c r="G161" i="3" s="1"/>
  <c r="H161" i="3" s="1"/>
  <c r="F162" i="3"/>
  <c r="G162" i="3" s="1"/>
  <c r="H162" i="3" s="1"/>
  <c r="F163" i="3"/>
  <c r="G163" i="3" s="1"/>
  <c r="H163" i="3" s="1"/>
  <c r="F164" i="3"/>
  <c r="G164" i="3" s="1"/>
  <c r="H164" i="3" s="1"/>
  <c r="F165" i="3"/>
  <c r="G165" i="3" s="1"/>
  <c r="H165" i="3" s="1"/>
  <c r="F166" i="3"/>
  <c r="G166" i="3" s="1"/>
  <c r="H166" i="3" s="1"/>
  <c r="F167" i="3"/>
  <c r="G167" i="3" s="1"/>
  <c r="H167" i="3" s="1"/>
  <c r="F168" i="3"/>
  <c r="G168" i="3" s="1"/>
  <c r="H168" i="3" s="1"/>
  <c r="F169" i="3"/>
  <c r="G169" i="3" s="1"/>
  <c r="H169" i="3" s="1"/>
  <c r="F170" i="3"/>
  <c r="G170" i="3" s="1"/>
  <c r="H170" i="3" s="1"/>
  <c r="F171" i="3"/>
  <c r="G171" i="3" s="1"/>
  <c r="H171" i="3" s="1"/>
  <c r="F172" i="3"/>
  <c r="G172" i="3" s="1"/>
  <c r="H172" i="3" s="1"/>
  <c r="F173" i="3"/>
  <c r="G173" i="3" s="1"/>
  <c r="H173" i="3" s="1"/>
  <c r="F174" i="3"/>
  <c r="G174" i="3" s="1"/>
  <c r="H174" i="3" s="1"/>
  <c r="F175" i="3"/>
  <c r="G175" i="3" s="1"/>
  <c r="H175" i="3" s="1"/>
  <c r="F176" i="3"/>
  <c r="G176" i="3" s="1"/>
  <c r="H176" i="3" s="1"/>
  <c r="F177" i="3"/>
  <c r="G177" i="3" s="1"/>
  <c r="H177" i="3" s="1"/>
  <c r="F178" i="3"/>
  <c r="G178" i="3" s="1"/>
  <c r="H178" i="3" s="1"/>
  <c r="F179" i="3"/>
  <c r="G179" i="3" s="1"/>
  <c r="H179" i="3" s="1"/>
  <c r="F180" i="3"/>
  <c r="G180" i="3" s="1"/>
  <c r="H180" i="3" s="1"/>
  <c r="F181" i="3"/>
  <c r="G181" i="3" s="1"/>
  <c r="H181" i="3" s="1"/>
  <c r="F182" i="3"/>
  <c r="G182" i="3" s="1"/>
  <c r="H182" i="3" s="1"/>
  <c r="F183" i="3"/>
  <c r="G183" i="3" s="1"/>
  <c r="H183" i="3" s="1"/>
  <c r="F184" i="3"/>
  <c r="G184" i="3" s="1"/>
  <c r="H184" i="3" s="1"/>
  <c r="F185" i="3"/>
  <c r="G185" i="3" s="1"/>
  <c r="H185" i="3" s="1"/>
  <c r="F186" i="3"/>
  <c r="G186" i="3" s="1"/>
  <c r="H186" i="3" s="1"/>
  <c r="F187" i="3"/>
  <c r="G187" i="3" s="1"/>
  <c r="H187" i="3" s="1"/>
  <c r="F188" i="3"/>
  <c r="G188" i="3" s="1"/>
  <c r="H188" i="3" s="1"/>
  <c r="F189" i="3"/>
  <c r="G189" i="3" s="1"/>
  <c r="H189" i="3" s="1"/>
  <c r="F190" i="3"/>
  <c r="G190" i="3" s="1"/>
  <c r="H190" i="3" s="1"/>
  <c r="F191" i="3"/>
  <c r="G191" i="3" s="1"/>
  <c r="H191" i="3" s="1"/>
  <c r="F192" i="3"/>
  <c r="G192" i="3" s="1"/>
  <c r="H192" i="3" s="1"/>
  <c r="F193" i="3"/>
  <c r="G193" i="3" s="1"/>
  <c r="H193" i="3" s="1"/>
  <c r="F194" i="3"/>
  <c r="G194" i="3" s="1"/>
  <c r="H194" i="3" s="1"/>
  <c r="F195" i="3"/>
  <c r="G195" i="3" s="1"/>
  <c r="H195" i="3" s="1"/>
  <c r="F196" i="3"/>
  <c r="G196" i="3" s="1"/>
  <c r="H196" i="3" s="1"/>
  <c r="F197" i="3"/>
  <c r="G197" i="3" s="1"/>
  <c r="H197" i="3" s="1"/>
  <c r="F198" i="3"/>
  <c r="G198" i="3" s="1"/>
  <c r="H198" i="3" s="1"/>
  <c r="F199" i="3"/>
  <c r="G199" i="3" s="1"/>
  <c r="H199" i="3" s="1"/>
  <c r="F200" i="3"/>
  <c r="G200" i="3" s="1"/>
  <c r="H200" i="3" s="1"/>
  <c r="F201" i="3"/>
  <c r="G201" i="3" s="1"/>
  <c r="H201" i="3" s="1"/>
  <c r="F202" i="3"/>
  <c r="G202" i="3" s="1"/>
  <c r="H202" i="3" s="1"/>
  <c r="F203" i="3"/>
  <c r="G203" i="3" s="1"/>
  <c r="H203" i="3" s="1"/>
  <c r="F204" i="3"/>
  <c r="G204" i="3" s="1"/>
  <c r="H204" i="3" s="1"/>
  <c r="F6" i="3"/>
  <c r="G6" i="3" s="1"/>
  <c r="H6" i="3" s="1"/>
  <c r="F7" i="3"/>
  <c r="G7" i="3" s="1"/>
  <c r="H7" i="3" s="1"/>
  <c r="F8" i="3"/>
  <c r="G8" i="3" s="1"/>
  <c r="H8" i="3" s="1"/>
  <c r="F9" i="3"/>
  <c r="G9" i="3" s="1"/>
  <c r="H9" i="3" s="1"/>
  <c r="F10" i="3"/>
  <c r="G10" i="3" s="1"/>
  <c r="H10" i="3" s="1"/>
  <c r="F11" i="3"/>
  <c r="G11" i="3" s="1"/>
  <c r="H11" i="3" s="1"/>
  <c r="F12" i="3"/>
  <c r="G12" i="3" s="1"/>
  <c r="H12" i="3" s="1"/>
  <c r="F13" i="3"/>
  <c r="G13" i="3" s="1"/>
  <c r="H13" i="3" s="1"/>
  <c r="F14" i="3"/>
  <c r="G14" i="3" s="1"/>
  <c r="H14" i="3" s="1"/>
  <c r="F15" i="3"/>
  <c r="G15" i="3" s="1"/>
  <c r="H15" i="3" s="1"/>
  <c r="F16" i="3"/>
  <c r="G16" i="3" s="1"/>
  <c r="H16" i="3" s="1"/>
  <c r="F17" i="3"/>
  <c r="G17" i="3" s="1"/>
  <c r="H17" i="3" s="1"/>
  <c r="F18" i="3"/>
  <c r="G18" i="3" s="1"/>
  <c r="H18" i="3" s="1"/>
  <c r="F19" i="3"/>
  <c r="G19" i="3" s="1"/>
  <c r="H19" i="3" s="1"/>
  <c r="F20" i="3"/>
  <c r="G20" i="3" s="1"/>
  <c r="H20" i="3" s="1"/>
  <c r="F21" i="3"/>
  <c r="G21" i="3" s="1"/>
  <c r="H21" i="3" s="1"/>
  <c r="F22" i="3"/>
  <c r="G22" i="3" s="1"/>
  <c r="H22" i="3" s="1"/>
  <c r="F23" i="3"/>
  <c r="G23" i="3" s="1"/>
  <c r="H23" i="3" s="1"/>
  <c r="F24" i="3"/>
  <c r="G24" i="3" s="1"/>
  <c r="H24" i="3" s="1"/>
  <c r="F25" i="3"/>
  <c r="G25" i="3" s="1"/>
  <c r="H25" i="3" s="1"/>
  <c r="F26" i="3"/>
  <c r="G26" i="3" s="1"/>
  <c r="H26" i="3" s="1"/>
  <c r="F5" i="3"/>
  <c r="G5" i="3" s="1"/>
  <c r="H5" i="3" s="1"/>
  <c r="B2" i="2" l="1"/>
  <c r="C2" i="2"/>
  <c r="D2" i="2"/>
  <c r="E2" i="2"/>
  <c r="F7" i="2" l="1"/>
  <c r="F15" i="2"/>
  <c r="F23" i="2"/>
  <c r="F31" i="2"/>
  <c r="F39" i="2"/>
  <c r="F47" i="2"/>
  <c r="F55" i="2"/>
  <c r="F63" i="2"/>
  <c r="F71" i="2"/>
  <c r="F79" i="2"/>
  <c r="F87" i="2"/>
  <c r="F95" i="2"/>
  <c r="F103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61" i="2"/>
  <c r="F93" i="2"/>
  <c r="F141" i="2"/>
  <c r="F189" i="2"/>
  <c r="F8" i="2"/>
  <c r="F16" i="2"/>
  <c r="F24" i="2"/>
  <c r="F32" i="2"/>
  <c r="F40" i="2"/>
  <c r="F48" i="2"/>
  <c r="F56" i="2"/>
  <c r="F64" i="2"/>
  <c r="F72" i="2"/>
  <c r="F80" i="2"/>
  <c r="F88" i="2"/>
  <c r="F96" i="2"/>
  <c r="F104" i="2"/>
  <c r="F112" i="2"/>
  <c r="F120" i="2"/>
  <c r="F128" i="2"/>
  <c r="F136" i="2"/>
  <c r="F144" i="2"/>
  <c r="F152" i="2"/>
  <c r="F160" i="2"/>
  <c r="F168" i="2"/>
  <c r="F176" i="2"/>
  <c r="F184" i="2"/>
  <c r="F192" i="2"/>
  <c r="F200" i="2"/>
  <c r="F53" i="2"/>
  <c r="F85" i="2"/>
  <c r="F133" i="2"/>
  <c r="F181" i="2"/>
  <c r="F9" i="2"/>
  <c r="F17" i="2"/>
  <c r="F25" i="2"/>
  <c r="F33" i="2"/>
  <c r="F41" i="2"/>
  <c r="F49" i="2"/>
  <c r="F57" i="2"/>
  <c r="F65" i="2"/>
  <c r="F73" i="2"/>
  <c r="F81" i="2"/>
  <c r="F89" i="2"/>
  <c r="F97" i="2"/>
  <c r="F105" i="2"/>
  <c r="F113" i="2"/>
  <c r="F121" i="2"/>
  <c r="F129" i="2"/>
  <c r="F137" i="2"/>
  <c r="F145" i="2"/>
  <c r="F153" i="2"/>
  <c r="F161" i="2"/>
  <c r="F169" i="2"/>
  <c r="F177" i="2"/>
  <c r="F185" i="2"/>
  <c r="F193" i="2"/>
  <c r="F201" i="2"/>
  <c r="F45" i="2"/>
  <c r="F109" i="2"/>
  <c r="F173" i="2"/>
  <c r="F205" i="2"/>
  <c r="F10" i="2"/>
  <c r="F18" i="2"/>
  <c r="F26" i="2"/>
  <c r="F34" i="2"/>
  <c r="F42" i="2"/>
  <c r="F50" i="2"/>
  <c r="F58" i="2"/>
  <c r="F66" i="2"/>
  <c r="F74" i="2"/>
  <c r="F82" i="2"/>
  <c r="F90" i="2"/>
  <c r="F98" i="2"/>
  <c r="F106" i="2"/>
  <c r="F114" i="2"/>
  <c r="F122" i="2"/>
  <c r="F130" i="2"/>
  <c r="F138" i="2"/>
  <c r="F146" i="2"/>
  <c r="F154" i="2"/>
  <c r="F162" i="2"/>
  <c r="F170" i="2"/>
  <c r="F178" i="2"/>
  <c r="F186" i="2"/>
  <c r="F194" i="2"/>
  <c r="F202" i="2"/>
  <c r="F29" i="2"/>
  <c r="F77" i="2"/>
  <c r="F117" i="2"/>
  <c r="F157" i="2"/>
  <c r="F11" i="2"/>
  <c r="F19" i="2"/>
  <c r="F27" i="2"/>
  <c r="F35" i="2"/>
  <c r="F43" i="2"/>
  <c r="F51" i="2"/>
  <c r="F59" i="2"/>
  <c r="F67" i="2"/>
  <c r="F75" i="2"/>
  <c r="F83" i="2"/>
  <c r="F91" i="2"/>
  <c r="F99" i="2"/>
  <c r="F107" i="2"/>
  <c r="F115" i="2"/>
  <c r="F123" i="2"/>
  <c r="F131" i="2"/>
  <c r="F139" i="2"/>
  <c r="F147" i="2"/>
  <c r="F155" i="2"/>
  <c r="F163" i="2"/>
  <c r="F171" i="2"/>
  <c r="F179" i="2"/>
  <c r="F187" i="2"/>
  <c r="F195" i="2"/>
  <c r="F203" i="2"/>
  <c r="F21" i="2"/>
  <c r="F165" i="2"/>
  <c r="F12" i="2"/>
  <c r="F20" i="2"/>
  <c r="F28" i="2"/>
  <c r="F36" i="2"/>
  <c r="F44" i="2"/>
  <c r="F52" i="2"/>
  <c r="F60" i="2"/>
  <c r="F68" i="2"/>
  <c r="F76" i="2"/>
  <c r="F84" i="2"/>
  <c r="F92" i="2"/>
  <c r="F100" i="2"/>
  <c r="F108" i="2"/>
  <c r="F116" i="2"/>
  <c r="F124" i="2"/>
  <c r="F132" i="2"/>
  <c r="F140" i="2"/>
  <c r="F148" i="2"/>
  <c r="F156" i="2"/>
  <c r="F164" i="2"/>
  <c r="F172" i="2"/>
  <c r="F180" i="2"/>
  <c r="F188" i="2"/>
  <c r="F196" i="2"/>
  <c r="F204" i="2"/>
  <c r="F13" i="2"/>
  <c r="F125" i="2"/>
  <c r="F197" i="2"/>
  <c r="F14" i="2"/>
  <c r="F22" i="2"/>
  <c r="F30" i="2"/>
  <c r="F38" i="2"/>
  <c r="F46" i="2"/>
  <c r="F54" i="2"/>
  <c r="F62" i="2"/>
  <c r="F70" i="2"/>
  <c r="F78" i="2"/>
  <c r="F86" i="2"/>
  <c r="F94" i="2"/>
  <c r="F102" i="2"/>
  <c r="F110" i="2"/>
  <c r="F118" i="2"/>
  <c r="F126" i="2"/>
  <c r="F134" i="2"/>
  <c r="F142" i="2"/>
  <c r="F150" i="2"/>
  <c r="F158" i="2"/>
  <c r="F166" i="2"/>
  <c r="F174" i="2"/>
  <c r="F182" i="2"/>
  <c r="F190" i="2"/>
  <c r="F198" i="2"/>
  <c r="F37" i="2"/>
  <c r="F69" i="2"/>
  <c r="F101" i="2"/>
  <c r="F149" i="2"/>
  <c r="F6" i="2"/>
  <c r="G108" i="2" l="1"/>
  <c r="H108" i="2" s="1"/>
  <c r="C104" i="5"/>
  <c r="G134" i="2"/>
  <c r="H134" i="2" s="1"/>
  <c r="C130" i="5"/>
  <c r="G187" i="2"/>
  <c r="H187" i="2" s="1"/>
  <c r="C183" i="5"/>
  <c r="G62" i="2"/>
  <c r="H62" i="2" s="1"/>
  <c r="C58" i="5"/>
  <c r="G28" i="2"/>
  <c r="H28" i="2" s="1"/>
  <c r="C24" i="5"/>
  <c r="G77" i="2"/>
  <c r="H77" i="2" s="1"/>
  <c r="C73" i="5"/>
  <c r="G26" i="2"/>
  <c r="H26" i="2" s="1"/>
  <c r="C22" i="5"/>
  <c r="G118" i="2"/>
  <c r="H118" i="2" s="1"/>
  <c r="C114" i="5"/>
  <c r="G13" i="2"/>
  <c r="H13" i="2" s="1"/>
  <c r="C9" i="5"/>
  <c r="G20" i="2"/>
  <c r="H20" i="2" s="1"/>
  <c r="C16" i="5"/>
  <c r="G146" i="2"/>
  <c r="H146" i="2" s="1"/>
  <c r="C142" i="5"/>
  <c r="G6" i="2"/>
  <c r="H6" i="2" s="1"/>
  <c r="C2" i="5"/>
  <c r="G174" i="2"/>
  <c r="H174" i="2" s="1"/>
  <c r="C170" i="5"/>
  <c r="G110" i="2"/>
  <c r="H110" i="2" s="1"/>
  <c r="C106" i="5"/>
  <c r="G46" i="2"/>
  <c r="H46" i="2" s="1"/>
  <c r="C42" i="5"/>
  <c r="G204" i="2"/>
  <c r="H204" i="2" s="1"/>
  <c r="C200" i="5"/>
  <c r="G140" i="2"/>
  <c r="H140" i="2" s="1"/>
  <c r="C136" i="5"/>
  <c r="G76" i="2"/>
  <c r="H76" i="2" s="1"/>
  <c r="C72" i="5"/>
  <c r="G12" i="2"/>
  <c r="H12" i="2" s="1"/>
  <c r="C8" i="5"/>
  <c r="G163" i="2"/>
  <c r="H163" i="2" s="1"/>
  <c r="C159" i="5"/>
  <c r="G99" i="2"/>
  <c r="H99" i="2" s="1"/>
  <c r="C95" i="5"/>
  <c r="G35" i="2"/>
  <c r="H35" i="2" s="1"/>
  <c r="C31" i="5"/>
  <c r="G202" i="2"/>
  <c r="H202" i="2" s="1"/>
  <c r="C198" i="5"/>
  <c r="G138" i="2"/>
  <c r="H138" i="2" s="1"/>
  <c r="C134" i="5"/>
  <c r="G74" i="2"/>
  <c r="H74" i="2" s="1"/>
  <c r="C70" i="5"/>
  <c r="G10" i="2"/>
  <c r="H10" i="2" s="1"/>
  <c r="C6" i="5"/>
  <c r="G177" i="2"/>
  <c r="H177" i="2" s="1"/>
  <c r="C173" i="5"/>
  <c r="G113" i="2"/>
  <c r="H113" i="2" s="1"/>
  <c r="C109" i="5"/>
  <c r="G49" i="2"/>
  <c r="H49" i="2" s="1"/>
  <c r="C45" i="5"/>
  <c r="G85" i="2"/>
  <c r="H85" i="2" s="1"/>
  <c r="C81" i="5"/>
  <c r="G152" i="2"/>
  <c r="H152" i="2" s="1"/>
  <c r="C148" i="5"/>
  <c r="G88" i="2"/>
  <c r="H88" i="2" s="1"/>
  <c r="C84" i="5"/>
  <c r="G24" i="2"/>
  <c r="H24" i="2" s="1"/>
  <c r="C20" i="5"/>
  <c r="G191" i="2"/>
  <c r="H191" i="2" s="1"/>
  <c r="C187" i="5"/>
  <c r="G127" i="2"/>
  <c r="H127" i="2" s="1"/>
  <c r="C123" i="5"/>
  <c r="G63" i="2"/>
  <c r="H63" i="2" s="1"/>
  <c r="C59" i="5"/>
  <c r="G172" i="2"/>
  <c r="H172" i="2" s="1"/>
  <c r="C168" i="5"/>
  <c r="G70" i="2"/>
  <c r="H70" i="2" s="1"/>
  <c r="C66" i="5"/>
  <c r="G36" i="2"/>
  <c r="H36" i="2" s="1"/>
  <c r="C32" i="5"/>
  <c r="G190" i="2"/>
  <c r="H190" i="2" s="1"/>
  <c r="C186" i="5"/>
  <c r="G156" i="2"/>
  <c r="H156" i="2" s="1"/>
  <c r="C152" i="5"/>
  <c r="G115" i="2"/>
  <c r="H115" i="2" s="1"/>
  <c r="C111" i="5"/>
  <c r="G193" i="2"/>
  <c r="H193" i="2" s="1"/>
  <c r="C189" i="5"/>
  <c r="G182" i="2"/>
  <c r="H182" i="2" s="1"/>
  <c r="C178" i="5"/>
  <c r="G148" i="2"/>
  <c r="H148" i="2" s="1"/>
  <c r="C144" i="5"/>
  <c r="G171" i="2"/>
  <c r="H171" i="2" s="1"/>
  <c r="C167" i="5"/>
  <c r="G29" i="2"/>
  <c r="H29" i="2" s="1"/>
  <c r="C25" i="5"/>
  <c r="G149" i="2"/>
  <c r="H149" i="2" s="1"/>
  <c r="C145" i="5"/>
  <c r="G166" i="2"/>
  <c r="H166" i="2" s="1"/>
  <c r="C162" i="5"/>
  <c r="G102" i="2"/>
  <c r="H102" i="2" s="1"/>
  <c r="C98" i="5"/>
  <c r="G38" i="2"/>
  <c r="H38" i="2" s="1"/>
  <c r="C34" i="5"/>
  <c r="G196" i="2"/>
  <c r="H196" i="2" s="1"/>
  <c r="C192" i="5"/>
  <c r="G132" i="2"/>
  <c r="H132" i="2" s="1"/>
  <c r="C128" i="5"/>
  <c r="G68" i="2"/>
  <c r="H68" i="2" s="1"/>
  <c r="C64" i="5"/>
  <c r="G165" i="2"/>
  <c r="H165" i="2" s="1"/>
  <c r="C161" i="5"/>
  <c r="G155" i="2"/>
  <c r="H155" i="2" s="1"/>
  <c r="C151" i="5"/>
  <c r="G91" i="2"/>
  <c r="H91" i="2" s="1"/>
  <c r="C87" i="5"/>
  <c r="G27" i="2"/>
  <c r="H27" i="2" s="1"/>
  <c r="C23" i="5"/>
  <c r="G194" i="2"/>
  <c r="H194" i="2" s="1"/>
  <c r="C190" i="5"/>
  <c r="G130" i="2"/>
  <c r="H130" i="2" s="1"/>
  <c r="C126" i="5"/>
  <c r="G66" i="2"/>
  <c r="H66" i="2" s="1"/>
  <c r="C62" i="5"/>
  <c r="G205" i="2"/>
  <c r="H205" i="2" s="1"/>
  <c r="C201" i="5"/>
  <c r="G169" i="2"/>
  <c r="H169" i="2" s="1"/>
  <c r="C165" i="5"/>
  <c r="G105" i="2"/>
  <c r="H105" i="2" s="1"/>
  <c r="C101" i="5"/>
  <c r="G41" i="2"/>
  <c r="H41" i="2" s="1"/>
  <c r="C37" i="5"/>
  <c r="G53" i="2"/>
  <c r="H53" i="2" s="1"/>
  <c r="C49" i="5"/>
  <c r="G144" i="2"/>
  <c r="H144" i="2" s="1"/>
  <c r="C140" i="5"/>
  <c r="G80" i="2"/>
  <c r="H80" i="2" s="1"/>
  <c r="C76" i="5"/>
  <c r="G16" i="2"/>
  <c r="H16" i="2" s="1"/>
  <c r="C12" i="5"/>
  <c r="G183" i="2"/>
  <c r="H183" i="2" s="1"/>
  <c r="C179" i="5"/>
  <c r="G119" i="2"/>
  <c r="H119" i="2" s="1"/>
  <c r="C115" i="5"/>
  <c r="G55" i="2"/>
  <c r="H55" i="2" s="1"/>
  <c r="C51" i="5"/>
  <c r="G142" i="2"/>
  <c r="H142" i="2" s="1"/>
  <c r="C138" i="5"/>
  <c r="G101" i="2"/>
  <c r="H101" i="2" s="1"/>
  <c r="C97" i="5"/>
  <c r="G94" i="2"/>
  <c r="H94" i="2" s="1"/>
  <c r="C90" i="5"/>
  <c r="G188" i="2"/>
  <c r="H188" i="2" s="1"/>
  <c r="C184" i="5"/>
  <c r="G60" i="2"/>
  <c r="H60" i="2" s="1"/>
  <c r="C56" i="5"/>
  <c r="G21" i="2"/>
  <c r="H21" i="2" s="1"/>
  <c r="C17" i="5"/>
  <c r="G83" i="2"/>
  <c r="H83" i="2" s="1"/>
  <c r="C79" i="5"/>
  <c r="G19" i="2"/>
  <c r="H19" i="2" s="1"/>
  <c r="C15" i="5"/>
  <c r="G186" i="2"/>
  <c r="H186" i="2" s="1"/>
  <c r="C182" i="5"/>
  <c r="G122" i="2"/>
  <c r="H122" i="2" s="1"/>
  <c r="C118" i="5"/>
  <c r="G58" i="2"/>
  <c r="H58" i="2" s="1"/>
  <c r="C54" i="5"/>
  <c r="G173" i="2"/>
  <c r="H173" i="2" s="1"/>
  <c r="C169" i="5"/>
  <c r="G161" i="2"/>
  <c r="H161" i="2" s="1"/>
  <c r="C157" i="5"/>
  <c r="G97" i="2"/>
  <c r="H97" i="2" s="1"/>
  <c r="C93" i="5"/>
  <c r="G33" i="2"/>
  <c r="H33" i="2" s="1"/>
  <c r="C29" i="5"/>
  <c r="G200" i="2"/>
  <c r="H200" i="2" s="1"/>
  <c r="C196" i="5"/>
  <c r="G136" i="2"/>
  <c r="H136" i="2" s="1"/>
  <c r="C132" i="5"/>
  <c r="G72" i="2"/>
  <c r="H72" i="2" s="1"/>
  <c r="C68" i="5"/>
  <c r="G8" i="2"/>
  <c r="H8" i="2" s="1"/>
  <c r="C4" i="5"/>
  <c r="G175" i="2"/>
  <c r="H175" i="2" s="1"/>
  <c r="C171" i="5"/>
  <c r="G111" i="2"/>
  <c r="H111" i="2" s="1"/>
  <c r="C107" i="5"/>
  <c r="G47" i="2"/>
  <c r="H47" i="2" s="1"/>
  <c r="C43" i="5"/>
  <c r="G14" i="2"/>
  <c r="H14" i="2" s="1"/>
  <c r="C10" i="5"/>
  <c r="G158" i="2"/>
  <c r="H158" i="2" s="1"/>
  <c r="C154" i="5"/>
  <c r="G30" i="2"/>
  <c r="H30" i="2" s="1"/>
  <c r="C26" i="5"/>
  <c r="G124" i="2"/>
  <c r="H124" i="2" s="1"/>
  <c r="C120" i="5"/>
  <c r="G147" i="2"/>
  <c r="H147" i="2" s="1"/>
  <c r="C143" i="5"/>
  <c r="G69" i="2"/>
  <c r="H69" i="2" s="1"/>
  <c r="C65" i="5"/>
  <c r="G150" i="2"/>
  <c r="H150" i="2" s="1"/>
  <c r="C146" i="5"/>
  <c r="G86" i="2"/>
  <c r="H86" i="2" s="1"/>
  <c r="C82" i="5"/>
  <c r="G22" i="2"/>
  <c r="H22" i="2" s="1"/>
  <c r="C18" i="5"/>
  <c r="G180" i="2"/>
  <c r="H180" i="2" s="1"/>
  <c r="C176" i="5"/>
  <c r="G116" i="2"/>
  <c r="H116" i="2" s="1"/>
  <c r="C112" i="5"/>
  <c r="G52" i="2"/>
  <c r="H52" i="2" s="1"/>
  <c r="C48" i="5"/>
  <c r="G203" i="2"/>
  <c r="H203" i="2" s="1"/>
  <c r="C199" i="5"/>
  <c r="G139" i="2"/>
  <c r="H139" i="2" s="1"/>
  <c r="C135" i="5"/>
  <c r="G75" i="2"/>
  <c r="H75" i="2" s="1"/>
  <c r="C71" i="5"/>
  <c r="G11" i="2"/>
  <c r="H11" i="2" s="1"/>
  <c r="C7" i="5"/>
  <c r="G178" i="2"/>
  <c r="H178" i="2" s="1"/>
  <c r="C174" i="5"/>
  <c r="G114" i="2"/>
  <c r="H114" i="2" s="1"/>
  <c r="C110" i="5"/>
  <c r="G50" i="2"/>
  <c r="H50" i="2" s="1"/>
  <c r="C46" i="5"/>
  <c r="G109" i="2"/>
  <c r="H109" i="2" s="1"/>
  <c r="C105" i="5"/>
  <c r="G153" i="2"/>
  <c r="H153" i="2" s="1"/>
  <c r="C149" i="5"/>
  <c r="G89" i="2"/>
  <c r="H89" i="2" s="1"/>
  <c r="C85" i="5"/>
  <c r="G25" i="2"/>
  <c r="H25" i="2" s="1"/>
  <c r="C21" i="5"/>
  <c r="G192" i="2"/>
  <c r="H192" i="2" s="1"/>
  <c r="C188" i="5"/>
  <c r="G128" i="2"/>
  <c r="H128" i="2" s="1"/>
  <c r="C124" i="5"/>
  <c r="G64" i="2"/>
  <c r="H64" i="2" s="1"/>
  <c r="C60" i="5"/>
  <c r="G189" i="2"/>
  <c r="H189" i="2" s="1"/>
  <c r="C185" i="5"/>
  <c r="G167" i="2"/>
  <c r="H167" i="2" s="1"/>
  <c r="C163" i="5"/>
  <c r="G103" i="2"/>
  <c r="H103" i="2" s="1"/>
  <c r="C99" i="5"/>
  <c r="G39" i="2"/>
  <c r="H39" i="2" s="1"/>
  <c r="C35" i="5"/>
  <c r="G37" i="2"/>
  <c r="H37" i="2" s="1"/>
  <c r="C33" i="5"/>
  <c r="G195" i="2"/>
  <c r="H195" i="2" s="1"/>
  <c r="C191" i="5"/>
  <c r="G131" i="2"/>
  <c r="H131" i="2" s="1"/>
  <c r="C127" i="5"/>
  <c r="G67" i="2"/>
  <c r="H67" i="2" s="1"/>
  <c r="C63" i="5"/>
  <c r="G157" i="2"/>
  <c r="H157" i="2" s="1"/>
  <c r="C153" i="5"/>
  <c r="G170" i="2"/>
  <c r="H170" i="2" s="1"/>
  <c r="C166" i="5"/>
  <c r="G106" i="2"/>
  <c r="H106" i="2" s="1"/>
  <c r="C102" i="5"/>
  <c r="G42" i="2"/>
  <c r="H42" i="2" s="1"/>
  <c r="C38" i="5"/>
  <c r="G45" i="2"/>
  <c r="H45" i="2" s="1"/>
  <c r="C41" i="5"/>
  <c r="G145" i="2"/>
  <c r="H145" i="2" s="1"/>
  <c r="C141" i="5"/>
  <c r="G81" i="2"/>
  <c r="H81" i="2" s="1"/>
  <c r="C77" i="5"/>
  <c r="G17" i="2"/>
  <c r="H17" i="2" s="1"/>
  <c r="C13" i="5"/>
  <c r="G184" i="2"/>
  <c r="H184" i="2" s="1"/>
  <c r="C180" i="5"/>
  <c r="G120" i="2"/>
  <c r="H120" i="2" s="1"/>
  <c r="C116" i="5"/>
  <c r="G56" i="2"/>
  <c r="H56" i="2" s="1"/>
  <c r="C52" i="5"/>
  <c r="G141" i="2"/>
  <c r="H141" i="2" s="1"/>
  <c r="C137" i="5"/>
  <c r="G159" i="2"/>
  <c r="H159" i="2" s="1"/>
  <c r="C155" i="5"/>
  <c r="G95" i="2"/>
  <c r="H95" i="2" s="1"/>
  <c r="C91" i="5"/>
  <c r="G31" i="2"/>
  <c r="H31" i="2" s="1"/>
  <c r="C27" i="5"/>
  <c r="G198" i="2"/>
  <c r="H198" i="2" s="1"/>
  <c r="C194" i="5"/>
  <c r="G100" i="2"/>
  <c r="H100" i="2" s="1"/>
  <c r="C96" i="5"/>
  <c r="G59" i="2"/>
  <c r="H59" i="2" s="1"/>
  <c r="C55" i="5"/>
  <c r="G162" i="2"/>
  <c r="H162" i="2" s="1"/>
  <c r="C158" i="5"/>
  <c r="G98" i="2"/>
  <c r="H98" i="2" s="1"/>
  <c r="C94" i="5"/>
  <c r="G34" i="2"/>
  <c r="H34" i="2" s="1"/>
  <c r="C30" i="5"/>
  <c r="G201" i="2"/>
  <c r="H201" i="2" s="1"/>
  <c r="C197" i="5"/>
  <c r="G137" i="2"/>
  <c r="H137" i="2" s="1"/>
  <c r="C133" i="5"/>
  <c r="G73" i="2"/>
  <c r="H73" i="2" s="1"/>
  <c r="C69" i="5"/>
  <c r="G9" i="2"/>
  <c r="H9" i="2" s="1"/>
  <c r="C5" i="5"/>
  <c r="G176" i="2"/>
  <c r="H176" i="2" s="1"/>
  <c r="C172" i="5"/>
  <c r="G112" i="2"/>
  <c r="H112" i="2" s="1"/>
  <c r="C108" i="5"/>
  <c r="G48" i="2"/>
  <c r="H48" i="2" s="1"/>
  <c r="C44" i="5"/>
  <c r="G93" i="2"/>
  <c r="H93" i="2" s="1"/>
  <c r="C89" i="5"/>
  <c r="G151" i="2"/>
  <c r="H151" i="2" s="1"/>
  <c r="C147" i="5"/>
  <c r="G87" i="2"/>
  <c r="H87" i="2" s="1"/>
  <c r="C83" i="5"/>
  <c r="G23" i="2"/>
  <c r="H23" i="2" s="1"/>
  <c r="C19" i="5"/>
  <c r="G78" i="2"/>
  <c r="H78" i="2" s="1"/>
  <c r="C74" i="5"/>
  <c r="G197" i="2"/>
  <c r="H197" i="2" s="1"/>
  <c r="C193" i="5"/>
  <c r="G117" i="2"/>
  <c r="H117" i="2" s="1"/>
  <c r="C113" i="5"/>
  <c r="G125" i="2"/>
  <c r="H125" i="2" s="1"/>
  <c r="C121" i="5"/>
  <c r="G179" i="2"/>
  <c r="H179" i="2" s="1"/>
  <c r="C175" i="5"/>
  <c r="G154" i="2"/>
  <c r="H154" i="2" s="1"/>
  <c r="C150" i="5"/>
  <c r="G129" i="2"/>
  <c r="H129" i="2" s="1"/>
  <c r="C125" i="5"/>
  <c r="G65" i="2"/>
  <c r="H65" i="2" s="1"/>
  <c r="C61" i="5"/>
  <c r="G181" i="2"/>
  <c r="H181" i="2" s="1"/>
  <c r="C177" i="5"/>
  <c r="G168" i="2"/>
  <c r="H168" i="2" s="1"/>
  <c r="C164" i="5"/>
  <c r="G104" i="2"/>
  <c r="H104" i="2" s="1"/>
  <c r="C100" i="5"/>
  <c r="G40" i="2"/>
  <c r="H40" i="2" s="1"/>
  <c r="C36" i="5"/>
  <c r="G61" i="2"/>
  <c r="H61" i="2" s="1"/>
  <c r="C57" i="5"/>
  <c r="G143" i="2"/>
  <c r="H143" i="2" s="1"/>
  <c r="C139" i="5"/>
  <c r="G79" i="2"/>
  <c r="H79" i="2" s="1"/>
  <c r="C75" i="5"/>
  <c r="G15" i="2"/>
  <c r="H15" i="2" s="1"/>
  <c r="C11" i="5"/>
  <c r="G44" i="2"/>
  <c r="H44" i="2" s="1"/>
  <c r="C40" i="5"/>
  <c r="G164" i="2"/>
  <c r="H164" i="2" s="1"/>
  <c r="C160" i="5"/>
  <c r="G123" i="2"/>
  <c r="H123" i="2" s="1"/>
  <c r="C119" i="5"/>
  <c r="G126" i="2"/>
  <c r="H126" i="2" s="1"/>
  <c r="C122" i="5"/>
  <c r="G92" i="2"/>
  <c r="H92" i="2" s="1"/>
  <c r="C88" i="5"/>
  <c r="G51" i="2"/>
  <c r="H51" i="2" s="1"/>
  <c r="C47" i="5"/>
  <c r="G90" i="2"/>
  <c r="H90" i="2" s="1"/>
  <c r="C86" i="5"/>
  <c r="G54" i="2"/>
  <c r="H54" i="2" s="1"/>
  <c r="C50" i="5"/>
  <c r="G84" i="2"/>
  <c r="H84" i="2" s="1"/>
  <c r="C80" i="5"/>
  <c r="G107" i="2"/>
  <c r="H107" i="2" s="1"/>
  <c r="C103" i="5"/>
  <c r="G43" i="2"/>
  <c r="H43" i="2" s="1"/>
  <c r="C39" i="5"/>
  <c r="G82" i="2"/>
  <c r="H82" i="2" s="1"/>
  <c r="C78" i="5"/>
  <c r="G18" i="2"/>
  <c r="H18" i="2" s="1"/>
  <c r="C14" i="5"/>
  <c r="G185" i="2"/>
  <c r="H185" i="2" s="1"/>
  <c r="C181" i="5"/>
  <c r="G121" i="2"/>
  <c r="H121" i="2" s="1"/>
  <c r="C117" i="5"/>
  <c r="G57" i="2"/>
  <c r="H57" i="2" s="1"/>
  <c r="C53" i="5"/>
  <c r="G133" i="2"/>
  <c r="H133" i="2" s="1"/>
  <c r="C129" i="5"/>
  <c r="G160" i="2"/>
  <c r="H160" i="2" s="1"/>
  <c r="C156" i="5"/>
  <c r="G96" i="2"/>
  <c r="H96" i="2" s="1"/>
  <c r="C92" i="5"/>
  <c r="G32" i="2"/>
  <c r="H32" i="2" s="1"/>
  <c r="C28" i="5"/>
  <c r="G199" i="2"/>
  <c r="H199" i="2" s="1"/>
  <c r="C195" i="5"/>
  <c r="G135" i="2"/>
  <c r="H135" i="2" s="1"/>
  <c r="C131" i="5"/>
  <c r="G71" i="2"/>
  <c r="H71" i="2" s="1"/>
  <c r="C67" i="5"/>
  <c r="G7" i="2"/>
  <c r="H7" i="2" s="1"/>
  <c r="C3" i="5"/>
  <c r="H2" i="3"/>
  <c r="H1" i="2" l="1"/>
  <c r="I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<sst xmlns="http://schemas.openxmlformats.org/spreadsheetml/2006/main" count="706" uniqueCount="245">
  <si>
    <t>Intercept</t>
  </si>
  <si>
    <t>b1</t>
  </si>
  <si>
    <t>b2</t>
  </si>
  <si>
    <t>https://www.youtube.com/watch?v=_rEW5ce78es</t>
  </si>
  <si>
    <t>Video 2</t>
  </si>
  <si>
    <t>Squared Error</t>
  </si>
  <si>
    <t>sum of squares</t>
  </si>
  <si>
    <t>https://www.youtube.com/watch?v=xKA-fOCENaY</t>
  </si>
  <si>
    <t>https://www.youtube.com/watch?v=r9bIRMTZ6eM</t>
  </si>
  <si>
    <t>b3</t>
  </si>
  <si>
    <t>Intercept(b0)</t>
  </si>
  <si>
    <t>y</t>
  </si>
  <si>
    <t>X1</t>
  </si>
  <si>
    <t>X2</t>
  </si>
  <si>
    <t>X3</t>
  </si>
  <si>
    <t>id</t>
  </si>
  <si>
    <t>Combination</t>
  </si>
  <si>
    <t>Select Combination</t>
  </si>
  <si>
    <t>SUM LOG LIKELIHOOD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</si>
  <si>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</si>
  <si>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</si>
  <si>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</si>
  <si>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</si>
  <si>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</si>
  <si>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</si>
  <si>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</si>
  <si>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</si>
  <si>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</si>
  <si>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</si>
  <si>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</si>
  <si>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</si>
  <si>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</si>
  <si>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</si>
  <si>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</si>
  <si>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</si>
  <si>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</si>
  <si>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</si>
  <si>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</si>
  <si>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</si>
  <si>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</si>
  <si>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</si>
  <si>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</si>
  <si>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</si>
  <si>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X</t>
  </si>
  <si>
    <t>Auto</t>
  </si>
  <si>
    <t>Campaings</t>
  </si>
  <si>
    <t>sales</t>
  </si>
  <si>
    <t>youtube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</si>
  <si>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</si>
  <si>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</si>
  <si>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</si>
  <si>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</si>
  <si>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</si>
  <si>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</si>
  <si>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</si>
  <si>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</si>
  <si>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</si>
  <si>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</si>
  <si>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</si>
  <si>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</si>
  <si>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</si>
  <si>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</si>
  <si>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</si>
  <si>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</si>
  <si>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</si>
  <si>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</si>
  <si>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</si>
  <si>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</si>
  <si>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</si>
  <si>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</si>
  <si>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</si>
  <si>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</si>
  <si>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</si>
  <si>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</si>
  <si>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</si>
  <si>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</si>
  <si>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</si>
  <si>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</si>
  <si>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</si>
  <si>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</si>
  <si>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</si>
  <si>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</si>
  <si>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</si>
  <si>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</si>
  <si>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</si>
  <si>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</si>
  <si>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</si>
  <si>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</si>
  <si>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</si>
  <si>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</si>
  <si>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</si>
  <si>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</si>
  <si>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</si>
  <si>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</si>
  <si>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</si>
  <si>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</si>
  <si>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</si>
  <si>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</si>
  <si>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</si>
  <si>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</si>
  <si>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</si>
  <si>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</si>
  <si>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</si>
  <si>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</si>
  <si>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</si>
  <si>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</si>
  <si>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</si>
  <si>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</si>
  <si>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</si>
  <si>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</si>
  <si>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</si>
  <si>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</si>
  <si>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</si>
  <si>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</si>
  <si>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</si>
  <si>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</si>
  <si>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</si>
  <si>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</si>
  <si>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</si>
  <si>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</si>
  <si>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</si>
  <si>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</si>
  <si>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</si>
  <si>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</si>
  <si>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</si>
  <si>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</si>
  <si>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</si>
  <si>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</si>
  <si>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</si>
  <si>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</si>
  <si>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</si>
  <si>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</si>
  <si>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</si>
  <si>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</si>
  <si>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</si>
  <si>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</si>
  <si>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</si>
  <si>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</si>
  <si>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</si>
  <si>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</si>
  <si>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</si>
  <si>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</si>
  <si>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</si>
  <si>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</si>
  <si>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</si>
  <si>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</si>
  <si>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</si>
  <si>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</si>
  <si>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</si>
  <si>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</si>
  <si>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</si>
  <si>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</si>
  <si>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</si>
  <si>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</si>
  <si>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</si>
  <si>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</si>
  <si>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</si>
  <si>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</si>
  <si>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</si>
  <si>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</si>
  <si>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</si>
  <si>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</si>
  <si>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</si>
  <si>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</si>
  <si>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</si>
  <si>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</si>
  <si>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</si>
  <si>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</si>
  <si>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</si>
  <si>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</si>
  <si>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</si>
  <si>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</si>
  <si>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</si>
  <si>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</si>
  <si>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</si>
  <si>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</si>
  <si>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</si>
  <si>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</si>
  <si>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</si>
  <si>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</si>
  <si>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</si>
  <si>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</si>
  <si>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</si>
  <si>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</si>
  <si>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</si>
  <si>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</si>
  <si>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</si>
  <si>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</si>
  <si>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</si>
  <si>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</si>
  <si>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</si>
  <si>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</si>
  <si>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</si>
  <si>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</si>
  <si>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</si>
  <si>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</si>
  <si>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</si>
  <si>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</si>
  <si>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</si>
  <si>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</si>
  <si>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</si>
  <si>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</si>
  <si>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</si>
  <si>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</si>
  <si>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</si>
  <si>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</si>
  <si>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</si>
  <si>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</si>
  <si>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</si>
  <si>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</si>
  <si>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</si>
  <si>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</si>
  <si>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</si>
  <si>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</si>
  <si>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</si>
  <si>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</si>
  <si>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</si>
  <si>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</si>
  <si>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</si>
  <si>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</si>
  <si>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</si>
  <si>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</si>
  <si>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</si>
  <si>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</si>
  <si>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facebook</t>
  </si>
  <si>
    <t>newspaper</t>
  </si>
  <si>
    <t>Correlation</t>
  </si>
  <si>
    <t>Predicted Sales</t>
  </si>
  <si>
    <t>Error</t>
  </si>
  <si>
    <t>SUM OF SQUARES</t>
  </si>
  <si>
    <t>ABS Error</t>
  </si>
  <si>
    <t>SSE</t>
  </si>
  <si>
    <t>MSE</t>
  </si>
  <si>
    <t>RMSE</t>
  </si>
  <si>
    <t>ABS Percentage Error</t>
  </si>
  <si>
    <t>MAPE</t>
  </si>
  <si>
    <t>Covariance</t>
  </si>
  <si>
    <t xml:space="preserve"> $180 K Spends</t>
  </si>
  <si>
    <t>m1</t>
  </si>
  <si>
    <t>m2</t>
  </si>
  <si>
    <t>m3</t>
  </si>
  <si>
    <t>C</t>
  </si>
  <si>
    <t>Estimates</t>
  </si>
  <si>
    <t>Total Spends</t>
  </si>
  <si>
    <t>Sales?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</si>
</sst>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_ * #,##0.0_ ;_ * \-#,##0.0_ ;_ * &quot;-&quot;??_ ;_ @_ "/>
    <numFmt numFmtId="167" formatCode="&quot;$&quot;\ General\ &quot;k&quot;"/>
  </numFmts>
  <fonts count="14" x14ac:knownFonts="1">
    <font>
      <sz val="11"/>
      <color theme="1"/>
      <name val="Open Sans"/>
      <family val="2"/>
    </font>
    <font>
      <sz val="11"/>
      <color rgb="FF3F3F76"/>
      <name val="Open Sans"/>
      <family val="2"/>
    </font>
    <font>
      <b/>
      <sz val="11"/>
      <color rgb="FFFA7D00"/>
      <name val="Open Sans"/>
      <family val="2"/>
    </font>
    <font>
      <sz val="11"/>
      <color theme="1"/>
      <name val="Open Sans"/>
      <family val="2"/>
    </font>
    <font>
      <sz val="11"/>
      <color rgb="FF006100"/>
      <name val="Open Sans"/>
      <family val="2"/>
    </font>
    <font>
      <sz val="11"/>
      <color rgb="FF9C5700"/>
      <name val="Open Sans"/>
      <family val="2"/>
    </font>
    <font>
      <b/>
      <sz val="11"/>
      <color rgb="FF3F3F3F"/>
      <name val="Open Sans"/>
      <family val="2"/>
    </font>
    <font>
      <sz val="11"/>
      <color rgb="FFFA7D00"/>
      <name val="Open Sans"/>
      <family val="2"/>
    </font>
    <font>
      <b/>
      <sz val="11"/>
      <color theme="0"/>
      <name val="Open Sans"/>
      <family val="2"/>
    </font>
    <font>
      <i/>
      <sz val="11"/>
      <color rgb="FF7F7F7F"/>
      <name val="Open Sans"/>
      <family val="2"/>
    </font>
    <font>
      <sz val="11"/>
      <color theme="0"/>
      <name val="Open Sans"/>
      <family val="2"/>
    </font>
    <font>
      <sz val="8"/>
      <name val="Open Sans"/>
      <family val="2"/>
    </font>
    <font>
      <i/>
      <sz val="7"/>
      <color rgb="FF7F7F7F"/>
      <name val="Open Sans"/>
      <family val="2"/>
    </font>
    <font>
      <b/>
      <sz val="13"/>
      <color theme="3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7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8"/>
      </top>
      <bottom style="medium">
        <color indexed="64"/>
      </bottom>
      <diagonal/>
    </border>
    <border>
      <left style="medium">
        <color indexed="64"/>
      </left>
      <right/>
      <top style="thin">
        <color theme="8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theme="8"/>
      </top>
      <bottom/>
      <diagonal/>
    </border>
    <border>
      <left/>
      <right style="medium">
        <color indexed="64"/>
      </right>
      <top style="thin">
        <color theme="8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</borders>
  <cellStyleXfs count="1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9" fontId="3" fillId="0" borderId="0" applyFont="0" applyFill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3" borderId="2" applyNumberFormat="0" applyAlignment="0" applyProtection="0"/>
    <xf numFmtId="0" fontId="7" fillId="0" borderId="3" applyNumberFormat="0" applyFill="0" applyAlignment="0" applyProtection="0"/>
    <xf numFmtId="0" fontId="8" fillId="7" borderId="4" applyNumberFormat="0" applyAlignment="0" applyProtection="0"/>
    <xf numFmtId="0" fontId="9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13" fillId="0" borderId="16" applyNumberFormat="0" applyFill="0" applyAlignment="0" applyProtection="0"/>
  </cellStyleXfs>
  <cellXfs count="41">
    <xf numFmtId="0" fontId="0" fillId="0" borderId="0" xfId="0"/>
    <xf numFmtId="0" fontId="2" fillId="3" borderId="1" xfId="2"/>
    <xf numFmtId="0" fontId="1" fillId="2" borderId="1" xfId="1"/>
    <xf numFmtId="2" fontId="0" fillId="0" borderId="0" xfId="0" applyNumberFormat="1"/>
    <xf numFmtId="0" fontId="3" fillId="4" borderId="0" xfId="3" applyAlignment="1">
      <alignment horizontal="right"/>
    </xf>
    <xf numFmtId="0" fontId="0" fillId="0" borderId="0" xfId="0" applyAlignment="1">
      <alignment horizontal="center" vertical="center" wrapText="1"/>
    </xf>
    <xf numFmtId="164" fontId="0" fillId="0" borderId="0" xfId="4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4" fillId="5" borderId="5" xfId="5" applyBorder="1"/>
    <xf numFmtId="2" fontId="4" fillId="5" borderId="7" xfId="5" applyNumberFormat="1" applyBorder="1"/>
    <xf numFmtId="0" fontId="5" fillId="6" borderId="5" xfId="6" applyBorder="1"/>
    <xf numFmtId="2" fontId="5" fillId="6" borderId="6" xfId="6" applyNumberFormat="1" applyBorder="1"/>
    <xf numFmtId="2" fontId="5" fillId="6" borderId="7" xfId="6" applyNumberFormat="1" applyBorder="1"/>
    <xf numFmtId="0" fontId="3" fillId="4" borderId="0" xfId="3"/>
    <xf numFmtId="0" fontId="3" fillId="8" borderId="0" xfId="11" applyFont="1"/>
    <xf numFmtId="0" fontId="3" fillId="4" borderId="0" xfId="3" applyAlignment="1">
      <alignment horizontal="center" vertical="center" wrapText="1"/>
    </xf>
    <xf numFmtId="0" fontId="12" fillId="0" borderId="0" xfId="10" applyFont="1" applyAlignment="1">
      <alignment horizontal="center" vertical="center" wrapText="1"/>
    </xf>
    <xf numFmtId="0" fontId="9" fillId="0" borderId="0" xfId="10"/>
    <xf numFmtId="0" fontId="8" fillId="7" borderId="4" xfId="9"/>
    <xf numFmtId="0" fontId="7" fillId="0" borderId="3" xfId="8" applyAlignment="1">
      <alignment horizontal="center"/>
    </xf>
    <xf numFmtId="0" fontId="8" fillId="9" borderId="9" xfId="0" applyFont="1" applyFill="1" applyBorder="1" applyAlignment="1">
      <alignment horizontal="right"/>
    </xf>
    <xf numFmtId="0" fontId="8" fillId="9" borderId="8" xfId="0" applyFont="1" applyFill="1" applyBorder="1" applyAlignment="1">
      <alignment horizontal="right"/>
    </xf>
    <xf numFmtId="0" fontId="0" fillId="0" borderId="10" xfId="0" applyBorder="1"/>
    <xf numFmtId="0" fontId="0" fillId="0" borderId="12" xfId="0" applyBorder="1"/>
    <xf numFmtId="0" fontId="0" fillId="0" borderId="11" xfId="0" applyBorder="1"/>
    <xf numFmtId="2" fontId="1" fillId="2" borderId="1" xfId="1" applyNumberFormat="1"/>
    <xf numFmtId="2" fontId="6" fillId="3" borderId="2" xfId="7" applyNumberFormat="1"/>
    <xf numFmtId="165" fontId="4" fillId="5" borderId="6" xfId="5" applyNumberFormat="1" applyBorder="1"/>
    <xf numFmtId="165" fontId="0" fillId="0" borderId="0" xfId="0" applyNumberFormat="1"/>
    <xf numFmtId="165" fontId="5" fillId="6" borderId="6" xfId="6" applyNumberFormat="1" applyBorder="1"/>
    <xf numFmtId="166" fontId="6" fillId="3" borderId="2" xfId="7" applyNumberFormat="1"/>
    <xf numFmtId="164" fontId="6" fillId="3" borderId="2" xfId="7" applyNumberFormat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0" fontId="8" fillId="10" borderId="17" xfId="0" applyFont="1" applyFill="1" applyBorder="1" applyAlignment="1">
      <alignment horizontal="center" vertical="center"/>
    </xf>
    <xf numFmtId="0" fontId="8" fillId="10" borderId="18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67" fontId="0" fillId="0" borderId="0" xfId="0" applyNumberFormat="1"/>
    <xf numFmtId="0" fontId="13" fillId="0" borderId="16" xfId="12" applyAlignment="1">
      <alignment horizontal="center"/>
    </xf>
  </cellXfs>
  <cellStyles count="13">
    <cellStyle name="60% - Accent4" xfId="3" builtinId="44"/>
    <cellStyle name="Accent4" xfId="11" builtinId="41"/>
    <cellStyle name="Calculation" xfId="2" builtinId="22"/>
    <cellStyle name="Check Cell" xfId="9" builtinId="23"/>
    <cellStyle name="Explanatory Text" xfId="10" builtinId="53"/>
    <cellStyle name="Good" xfId="5" builtinId="26"/>
    <cellStyle name="Heading 2" xfId="12" builtinId="17"/>
    <cellStyle name="Input" xfId="1" builtinId="20"/>
    <cellStyle name="Linked Cell" xfId="8" builtinId="24"/>
    <cellStyle name="Neutral" xfId="6" builtinId="28"/>
    <cellStyle name="Normal" xfId="0" builtinId="0"/>
    <cellStyle name="Output" xfId="7" builtinId="21"/>
    <cellStyle name="Percent" xfId="4" builtinId="5"/>
  </cellStyles>
  <dxfs count="2">
    <dxf>
      <font>
        <b/>
        <i val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youtube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youtube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</c:f>
              <c:numCache>
                <c:formatCode>General</c:formatCode>
                <c:ptCount val="200"/>
                <c:pt idx="0">
                  <c:v>26.52</c:v>
                </c:pt>
                <c:pt idx="1">
                  <c:v>12.48</c:v>
                </c:pt>
                <c:pt idx="2">
                  <c:v>11.16</c:v>
                </c:pt>
                <c:pt idx="3">
                  <c:v>22.2</c:v>
                </c:pt>
                <c:pt idx="4">
                  <c:v>15.48</c:v>
                </c:pt>
                <c:pt idx="5">
                  <c:v>8.64</c:v>
                </c:pt>
                <c:pt idx="6">
                  <c:v>14.16</c:v>
                </c:pt>
                <c:pt idx="7">
                  <c:v>15.84</c:v>
                </c:pt>
                <c:pt idx="8">
                  <c:v>5.76</c:v>
                </c:pt>
                <c:pt idx="9">
                  <c:v>12.72</c:v>
                </c:pt>
                <c:pt idx="10">
                  <c:v>10.32</c:v>
                </c:pt>
                <c:pt idx="11">
                  <c:v>20.88</c:v>
                </c:pt>
                <c:pt idx="12">
                  <c:v>11.04</c:v>
                </c:pt>
                <c:pt idx="13">
                  <c:v>11.64</c:v>
                </c:pt>
                <c:pt idx="14">
                  <c:v>22.8</c:v>
                </c:pt>
                <c:pt idx="15">
                  <c:v>26.88</c:v>
                </c:pt>
                <c:pt idx="16">
                  <c:v>15</c:v>
                </c:pt>
                <c:pt idx="17">
                  <c:v>29.28</c:v>
                </c:pt>
                <c:pt idx="18">
                  <c:v>13.56</c:v>
                </c:pt>
                <c:pt idx="19">
                  <c:v>17.52</c:v>
                </c:pt>
                <c:pt idx="20">
                  <c:v>21.6</c:v>
                </c:pt>
                <c:pt idx="21">
                  <c:v>15</c:v>
                </c:pt>
                <c:pt idx="22">
                  <c:v>6.72</c:v>
                </c:pt>
                <c:pt idx="23">
                  <c:v>18.600000000000001</c:v>
                </c:pt>
                <c:pt idx="24">
                  <c:v>11.64</c:v>
                </c:pt>
                <c:pt idx="25">
                  <c:v>14.4</c:v>
                </c:pt>
                <c:pt idx="26">
                  <c:v>18</c:v>
                </c:pt>
                <c:pt idx="27">
                  <c:v>19.079999999999998</c:v>
                </c:pt>
                <c:pt idx="28">
                  <c:v>22.68</c:v>
                </c:pt>
                <c:pt idx="29">
                  <c:v>12.6</c:v>
                </c:pt>
                <c:pt idx="30">
                  <c:v>25.68</c:v>
                </c:pt>
                <c:pt idx="31">
                  <c:v>14.28</c:v>
                </c:pt>
                <c:pt idx="32">
                  <c:v>11.52</c:v>
                </c:pt>
                <c:pt idx="33">
                  <c:v>20.88</c:v>
                </c:pt>
                <c:pt idx="34">
                  <c:v>11.4</c:v>
                </c:pt>
                <c:pt idx="35">
                  <c:v>15.36</c:v>
                </c:pt>
                <c:pt idx="36">
                  <c:v>30.48</c:v>
                </c:pt>
                <c:pt idx="37">
                  <c:v>17.64</c:v>
                </c:pt>
                <c:pt idx="38">
                  <c:v>12.12</c:v>
                </c:pt>
                <c:pt idx="39">
                  <c:v>25.8</c:v>
                </c:pt>
                <c:pt idx="40">
                  <c:v>19.920000000000002</c:v>
                </c:pt>
                <c:pt idx="41">
                  <c:v>20.52</c:v>
                </c:pt>
                <c:pt idx="42">
                  <c:v>24.84</c:v>
                </c:pt>
                <c:pt idx="43">
                  <c:v>15.48</c:v>
                </c:pt>
                <c:pt idx="44">
                  <c:v>10.199999999999999</c:v>
                </c:pt>
                <c:pt idx="45">
                  <c:v>17.88</c:v>
                </c:pt>
                <c:pt idx="46">
                  <c:v>12.72</c:v>
                </c:pt>
                <c:pt idx="47">
                  <c:v>27.84</c:v>
                </c:pt>
                <c:pt idx="48">
                  <c:v>17.760000000000002</c:v>
                </c:pt>
                <c:pt idx="49">
                  <c:v>11.64</c:v>
                </c:pt>
                <c:pt idx="50">
                  <c:v>13.68</c:v>
                </c:pt>
                <c:pt idx="51">
                  <c:v>12.84</c:v>
                </c:pt>
                <c:pt idx="52">
                  <c:v>27.12</c:v>
                </c:pt>
                <c:pt idx="53">
                  <c:v>25.44</c:v>
                </c:pt>
                <c:pt idx="54">
                  <c:v>24.24</c:v>
                </c:pt>
                <c:pt idx="55">
                  <c:v>28.44</c:v>
                </c:pt>
                <c:pt idx="56">
                  <c:v>6.6</c:v>
                </c:pt>
                <c:pt idx="57">
                  <c:v>15.84</c:v>
                </c:pt>
                <c:pt idx="58">
                  <c:v>28.56</c:v>
                </c:pt>
                <c:pt idx="59">
                  <c:v>22.08</c:v>
                </c:pt>
                <c:pt idx="60">
                  <c:v>9.7200000000000006</c:v>
                </c:pt>
                <c:pt idx="61">
                  <c:v>29.04</c:v>
                </c:pt>
                <c:pt idx="62">
                  <c:v>18.84</c:v>
                </c:pt>
                <c:pt idx="63">
                  <c:v>16.8</c:v>
                </c:pt>
                <c:pt idx="64">
                  <c:v>21.6</c:v>
                </c:pt>
                <c:pt idx="65">
                  <c:v>11.16</c:v>
                </c:pt>
                <c:pt idx="66">
                  <c:v>11.4</c:v>
                </c:pt>
                <c:pt idx="67">
                  <c:v>16.079999999999998</c:v>
                </c:pt>
                <c:pt idx="68">
                  <c:v>22.68</c:v>
                </c:pt>
                <c:pt idx="69">
                  <c:v>26.76</c:v>
                </c:pt>
                <c:pt idx="70">
                  <c:v>21.96</c:v>
                </c:pt>
                <c:pt idx="71">
                  <c:v>14.88</c:v>
                </c:pt>
                <c:pt idx="72">
                  <c:v>10.56</c:v>
                </c:pt>
                <c:pt idx="73">
                  <c:v>13.2</c:v>
                </c:pt>
                <c:pt idx="74">
                  <c:v>20.399999999999999</c:v>
                </c:pt>
                <c:pt idx="75">
                  <c:v>10.44</c:v>
                </c:pt>
                <c:pt idx="76">
                  <c:v>8.2799999999999994</c:v>
                </c:pt>
                <c:pt idx="77">
                  <c:v>17.04</c:v>
                </c:pt>
                <c:pt idx="78">
                  <c:v>6.36</c:v>
                </c:pt>
                <c:pt idx="79">
                  <c:v>13.2</c:v>
                </c:pt>
                <c:pt idx="80">
                  <c:v>14.16</c:v>
                </c:pt>
                <c:pt idx="81">
                  <c:v>14.76</c:v>
                </c:pt>
                <c:pt idx="82">
                  <c:v>13.56</c:v>
                </c:pt>
                <c:pt idx="83">
                  <c:v>16.32</c:v>
                </c:pt>
                <c:pt idx="84">
                  <c:v>26.04</c:v>
                </c:pt>
                <c:pt idx="85">
                  <c:v>18.239999999999998</c:v>
                </c:pt>
                <c:pt idx="86">
                  <c:v>14.4</c:v>
                </c:pt>
                <c:pt idx="87">
                  <c:v>19.2</c:v>
                </c:pt>
                <c:pt idx="88">
                  <c:v>15.48</c:v>
                </c:pt>
                <c:pt idx="89">
                  <c:v>20.04</c:v>
                </c:pt>
                <c:pt idx="90">
                  <c:v>13.44</c:v>
                </c:pt>
                <c:pt idx="91">
                  <c:v>8.76</c:v>
                </c:pt>
                <c:pt idx="92">
                  <c:v>23.28</c:v>
                </c:pt>
                <c:pt idx="93">
                  <c:v>26.64</c:v>
                </c:pt>
                <c:pt idx="94">
                  <c:v>13.8</c:v>
                </c:pt>
                <c:pt idx="95">
                  <c:v>20.28</c:v>
                </c:pt>
                <c:pt idx="96">
                  <c:v>14.04</c:v>
                </c:pt>
                <c:pt idx="97">
                  <c:v>18.600000000000001</c:v>
                </c:pt>
                <c:pt idx="98">
                  <c:v>30.48</c:v>
                </c:pt>
                <c:pt idx="99">
                  <c:v>20.64</c:v>
                </c:pt>
                <c:pt idx="100">
                  <c:v>14.04</c:v>
                </c:pt>
                <c:pt idx="101">
                  <c:v>28.56</c:v>
                </c:pt>
                <c:pt idx="102">
                  <c:v>17.760000000000002</c:v>
                </c:pt>
                <c:pt idx="103">
                  <c:v>17.64</c:v>
                </c:pt>
                <c:pt idx="104">
                  <c:v>24.84</c:v>
                </c:pt>
                <c:pt idx="105">
                  <c:v>23.04</c:v>
                </c:pt>
                <c:pt idx="106">
                  <c:v>8.64</c:v>
                </c:pt>
                <c:pt idx="107">
                  <c:v>10.44</c:v>
                </c:pt>
                <c:pt idx="108">
                  <c:v>6.36</c:v>
                </c:pt>
                <c:pt idx="109">
                  <c:v>23.76</c:v>
                </c:pt>
                <c:pt idx="110">
                  <c:v>16.079999999999998</c:v>
                </c:pt>
                <c:pt idx="111">
                  <c:v>26.16</c:v>
                </c:pt>
                <c:pt idx="112">
                  <c:v>16.920000000000002</c:v>
                </c:pt>
                <c:pt idx="113">
                  <c:v>19.079999999999998</c:v>
                </c:pt>
                <c:pt idx="114">
                  <c:v>17.52</c:v>
                </c:pt>
                <c:pt idx="115">
                  <c:v>15.12</c:v>
                </c:pt>
                <c:pt idx="116">
                  <c:v>14.64</c:v>
                </c:pt>
                <c:pt idx="117">
                  <c:v>11.28</c:v>
                </c:pt>
                <c:pt idx="118">
                  <c:v>19.079999999999998</c:v>
                </c:pt>
                <c:pt idx="119">
                  <c:v>7.92</c:v>
                </c:pt>
                <c:pt idx="120">
                  <c:v>18.600000000000001</c:v>
                </c:pt>
                <c:pt idx="121">
                  <c:v>8.4</c:v>
                </c:pt>
                <c:pt idx="122">
                  <c:v>13.92</c:v>
                </c:pt>
                <c:pt idx="123">
                  <c:v>18.239999999999998</c:v>
                </c:pt>
                <c:pt idx="124">
                  <c:v>23.64</c:v>
                </c:pt>
                <c:pt idx="125">
                  <c:v>12.72</c:v>
                </c:pt>
                <c:pt idx="126">
                  <c:v>7.92</c:v>
                </c:pt>
                <c:pt idx="127">
                  <c:v>10.56</c:v>
                </c:pt>
                <c:pt idx="128">
                  <c:v>29.64</c:v>
                </c:pt>
                <c:pt idx="129">
                  <c:v>11.64</c:v>
                </c:pt>
                <c:pt idx="130">
                  <c:v>1.92</c:v>
                </c:pt>
                <c:pt idx="131">
                  <c:v>15.24</c:v>
                </c:pt>
                <c:pt idx="132">
                  <c:v>6.84</c:v>
                </c:pt>
                <c:pt idx="133">
                  <c:v>23.52</c:v>
                </c:pt>
                <c:pt idx="134">
                  <c:v>12.96</c:v>
                </c:pt>
                <c:pt idx="135">
                  <c:v>13.92</c:v>
                </c:pt>
                <c:pt idx="136">
                  <c:v>11.4</c:v>
                </c:pt>
                <c:pt idx="137">
                  <c:v>24.96</c:v>
                </c:pt>
                <c:pt idx="138">
                  <c:v>11.52</c:v>
                </c:pt>
                <c:pt idx="139">
                  <c:v>24.84</c:v>
                </c:pt>
                <c:pt idx="140">
                  <c:v>13.08</c:v>
                </c:pt>
                <c:pt idx="141">
                  <c:v>23.04</c:v>
                </c:pt>
                <c:pt idx="142">
                  <c:v>24.12</c:v>
                </c:pt>
                <c:pt idx="143">
                  <c:v>12.48</c:v>
                </c:pt>
                <c:pt idx="144">
                  <c:v>13.68</c:v>
                </c:pt>
                <c:pt idx="145">
                  <c:v>12.36</c:v>
                </c:pt>
                <c:pt idx="146">
                  <c:v>15.84</c:v>
                </c:pt>
                <c:pt idx="147">
                  <c:v>30.48</c:v>
                </c:pt>
                <c:pt idx="148">
                  <c:v>13.08</c:v>
                </c:pt>
                <c:pt idx="149">
                  <c:v>12.12</c:v>
                </c:pt>
                <c:pt idx="150">
                  <c:v>19.32</c:v>
                </c:pt>
                <c:pt idx="151">
                  <c:v>13.92</c:v>
                </c:pt>
                <c:pt idx="152">
                  <c:v>19.920000000000002</c:v>
                </c:pt>
                <c:pt idx="153">
                  <c:v>22.8</c:v>
                </c:pt>
                <c:pt idx="154">
                  <c:v>18.72</c:v>
                </c:pt>
                <c:pt idx="155">
                  <c:v>3.84</c:v>
                </c:pt>
                <c:pt idx="156">
                  <c:v>18.36</c:v>
                </c:pt>
                <c:pt idx="157">
                  <c:v>12.12</c:v>
                </c:pt>
                <c:pt idx="158">
                  <c:v>8.76</c:v>
                </c:pt>
                <c:pt idx="159">
                  <c:v>15.48</c:v>
                </c:pt>
                <c:pt idx="160">
                  <c:v>17.28</c:v>
                </c:pt>
                <c:pt idx="161">
                  <c:v>15.96</c:v>
                </c:pt>
                <c:pt idx="162">
                  <c:v>17.88</c:v>
                </c:pt>
                <c:pt idx="163">
                  <c:v>21.6</c:v>
                </c:pt>
                <c:pt idx="164">
                  <c:v>14.28</c:v>
                </c:pt>
                <c:pt idx="165">
                  <c:v>14.28</c:v>
                </c:pt>
                <c:pt idx="166">
                  <c:v>9.6</c:v>
                </c:pt>
                <c:pt idx="167">
                  <c:v>14.64</c:v>
                </c:pt>
                <c:pt idx="168">
                  <c:v>20.52</c:v>
                </c:pt>
                <c:pt idx="169">
                  <c:v>18</c:v>
                </c:pt>
                <c:pt idx="170">
                  <c:v>10.08</c:v>
                </c:pt>
                <c:pt idx="171">
                  <c:v>17.399999999999999</c:v>
                </c:pt>
                <c:pt idx="172">
                  <c:v>9.1199999999999992</c:v>
                </c:pt>
                <c:pt idx="173">
                  <c:v>14.04</c:v>
                </c:pt>
                <c:pt idx="174">
                  <c:v>13.8</c:v>
                </c:pt>
                <c:pt idx="175">
                  <c:v>32.4</c:v>
                </c:pt>
                <c:pt idx="176">
                  <c:v>24.24</c:v>
                </c:pt>
                <c:pt idx="177">
                  <c:v>14.04</c:v>
                </c:pt>
                <c:pt idx="178">
                  <c:v>14.16</c:v>
                </c:pt>
                <c:pt idx="179">
                  <c:v>15.12</c:v>
                </c:pt>
                <c:pt idx="180">
                  <c:v>12.6</c:v>
                </c:pt>
                <c:pt idx="181">
                  <c:v>14.64</c:v>
                </c:pt>
                <c:pt idx="182">
                  <c:v>10.44</c:v>
                </c:pt>
                <c:pt idx="183">
                  <c:v>31.44</c:v>
                </c:pt>
                <c:pt idx="184">
                  <c:v>21.12</c:v>
                </c:pt>
                <c:pt idx="185">
                  <c:v>27.12</c:v>
                </c:pt>
                <c:pt idx="186">
                  <c:v>12.36</c:v>
                </c:pt>
                <c:pt idx="187">
                  <c:v>20.76</c:v>
                </c:pt>
                <c:pt idx="188">
                  <c:v>19.079999999999998</c:v>
                </c:pt>
                <c:pt idx="189">
                  <c:v>8.0399999999999991</c:v>
                </c:pt>
                <c:pt idx="190">
                  <c:v>12.96</c:v>
                </c:pt>
                <c:pt idx="191">
                  <c:v>11.88</c:v>
                </c:pt>
                <c:pt idx="192">
                  <c:v>7.08</c:v>
                </c:pt>
                <c:pt idx="193">
                  <c:v>23.52</c:v>
                </c:pt>
                <c:pt idx="194">
                  <c:v>20.76</c:v>
                </c:pt>
                <c:pt idx="195">
                  <c:v>9.1199999999999992</c:v>
                </c:pt>
                <c:pt idx="196">
                  <c:v>11.64</c:v>
                </c:pt>
                <c:pt idx="197">
                  <c:v>15.36</c:v>
                </c:pt>
                <c:pt idx="198">
                  <c:v>30.6</c:v>
                </c:pt>
                <c:pt idx="199">
                  <c:v>16.079999999999998</c:v>
                </c:pt>
              </c:numCache>
            </c:numRef>
          </c:xVal>
          <c:yVal>
            <c:numRef>
              <c:f>Data!$C$2:$C$201</c:f>
              <c:numCache>
                <c:formatCode>General</c:formatCode>
                <c:ptCount val="200"/>
                <c:pt idx="0">
                  <c:v>276.12</c:v>
                </c:pt>
                <c:pt idx="1">
                  <c:v>53.4</c:v>
                </c:pt>
                <c:pt idx="2">
                  <c:v>20.64</c:v>
                </c:pt>
                <c:pt idx="3">
                  <c:v>181.8</c:v>
                </c:pt>
                <c:pt idx="4">
                  <c:v>216.96</c:v>
                </c:pt>
                <c:pt idx="5">
                  <c:v>10.44</c:v>
                </c:pt>
                <c:pt idx="6">
                  <c:v>69</c:v>
                </c:pt>
                <c:pt idx="7">
                  <c:v>144.24</c:v>
                </c:pt>
                <c:pt idx="8">
                  <c:v>10.32</c:v>
                </c:pt>
                <c:pt idx="9">
                  <c:v>239.76</c:v>
                </c:pt>
                <c:pt idx="10">
                  <c:v>79.319999999999993</c:v>
                </c:pt>
                <c:pt idx="11">
                  <c:v>257.64</c:v>
                </c:pt>
                <c:pt idx="12">
                  <c:v>28.56</c:v>
                </c:pt>
                <c:pt idx="13">
                  <c:v>117</c:v>
                </c:pt>
                <c:pt idx="14">
                  <c:v>244.92</c:v>
                </c:pt>
                <c:pt idx="15">
                  <c:v>234.48</c:v>
                </c:pt>
                <c:pt idx="16">
                  <c:v>81.36</c:v>
                </c:pt>
                <c:pt idx="17">
                  <c:v>337.68</c:v>
                </c:pt>
                <c:pt idx="18">
                  <c:v>83.04</c:v>
                </c:pt>
                <c:pt idx="19">
                  <c:v>176.76</c:v>
                </c:pt>
                <c:pt idx="20">
                  <c:v>262.08</c:v>
                </c:pt>
                <c:pt idx="21">
                  <c:v>284.88</c:v>
                </c:pt>
                <c:pt idx="22">
                  <c:v>15.84</c:v>
                </c:pt>
                <c:pt idx="23">
                  <c:v>273.95999999999998</c:v>
                </c:pt>
                <c:pt idx="24">
                  <c:v>74.760000000000005</c:v>
                </c:pt>
                <c:pt idx="25">
                  <c:v>315.48</c:v>
                </c:pt>
                <c:pt idx="26">
                  <c:v>171.48</c:v>
                </c:pt>
                <c:pt idx="27">
                  <c:v>288.12</c:v>
                </c:pt>
                <c:pt idx="28">
                  <c:v>298.56</c:v>
                </c:pt>
                <c:pt idx="29">
                  <c:v>84.72</c:v>
                </c:pt>
                <c:pt idx="30">
                  <c:v>351.48</c:v>
                </c:pt>
                <c:pt idx="31">
                  <c:v>135.47999999999999</c:v>
                </c:pt>
                <c:pt idx="32">
                  <c:v>116.64</c:v>
                </c:pt>
                <c:pt idx="33">
                  <c:v>318.72000000000003</c:v>
                </c:pt>
                <c:pt idx="34">
                  <c:v>114.84</c:v>
                </c:pt>
                <c:pt idx="35">
                  <c:v>348.84</c:v>
                </c:pt>
                <c:pt idx="36">
                  <c:v>320.27999999999997</c:v>
                </c:pt>
                <c:pt idx="37">
                  <c:v>89.64</c:v>
                </c:pt>
                <c:pt idx="38">
                  <c:v>51.72</c:v>
                </c:pt>
                <c:pt idx="39">
                  <c:v>273.60000000000002</c:v>
                </c:pt>
                <c:pt idx="40">
                  <c:v>243</c:v>
                </c:pt>
                <c:pt idx="41">
                  <c:v>212.4</c:v>
                </c:pt>
                <c:pt idx="42">
                  <c:v>352.32</c:v>
                </c:pt>
                <c:pt idx="43">
                  <c:v>248.28</c:v>
                </c:pt>
                <c:pt idx="44">
                  <c:v>30.12</c:v>
                </c:pt>
                <c:pt idx="45">
                  <c:v>210.12</c:v>
                </c:pt>
                <c:pt idx="46">
                  <c:v>107.64</c:v>
                </c:pt>
                <c:pt idx="47">
                  <c:v>287.88</c:v>
                </c:pt>
                <c:pt idx="48">
                  <c:v>272.64</c:v>
                </c:pt>
                <c:pt idx="49">
                  <c:v>80.28</c:v>
                </c:pt>
                <c:pt idx="50">
                  <c:v>239.76</c:v>
                </c:pt>
                <c:pt idx="51">
                  <c:v>120.48</c:v>
                </c:pt>
                <c:pt idx="52">
                  <c:v>259.68</c:v>
                </c:pt>
                <c:pt idx="53">
                  <c:v>219.12</c:v>
                </c:pt>
                <c:pt idx="54">
                  <c:v>315.24</c:v>
                </c:pt>
                <c:pt idx="55">
                  <c:v>238.68</c:v>
                </c:pt>
                <c:pt idx="56">
                  <c:v>8.76</c:v>
                </c:pt>
                <c:pt idx="57">
                  <c:v>163.44</c:v>
                </c:pt>
                <c:pt idx="58">
                  <c:v>252.96</c:v>
                </c:pt>
                <c:pt idx="59">
                  <c:v>252.84</c:v>
                </c:pt>
                <c:pt idx="60">
                  <c:v>64.2</c:v>
                </c:pt>
                <c:pt idx="61">
                  <c:v>313.56</c:v>
                </c:pt>
                <c:pt idx="62">
                  <c:v>287.16000000000003</c:v>
                </c:pt>
                <c:pt idx="63">
                  <c:v>123.24</c:v>
                </c:pt>
                <c:pt idx="64">
                  <c:v>157.32</c:v>
                </c:pt>
                <c:pt idx="65">
                  <c:v>82.8</c:v>
                </c:pt>
                <c:pt idx="66">
                  <c:v>37.799999999999997</c:v>
                </c:pt>
                <c:pt idx="67">
                  <c:v>167.16</c:v>
                </c:pt>
                <c:pt idx="68">
                  <c:v>284.88</c:v>
                </c:pt>
                <c:pt idx="69">
                  <c:v>260.16000000000003</c:v>
                </c:pt>
                <c:pt idx="70">
                  <c:v>238.92</c:v>
                </c:pt>
                <c:pt idx="71">
                  <c:v>131.76</c:v>
                </c:pt>
                <c:pt idx="72">
                  <c:v>32.159999999999997</c:v>
                </c:pt>
                <c:pt idx="73">
                  <c:v>155.28</c:v>
                </c:pt>
                <c:pt idx="74">
                  <c:v>256.08</c:v>
                </c:pt>
                <c:pt idx="75">
                  <c:v>20.28</c:v>
                </c:pt>
                <c:pt idx="76">
                  <c:v>33</c:v>
                </c:pt>
                <c:pt idx="77">
                  <c:v>144.6</c:v>
                </c:pt>
                <c:pt idx="78">
                  <c:v>6.48</c:v>
                </c:pt>
                <c:pt idx="79">
                  <c:v>139.19999999999999</c:v>
                </c:pt>
                <c:pt idx="80">
                  <c:v>91.68</c:v>
                </c:pt>
                <c:pt idx="81">
                  <c:v>287.76</c:v>
                </c:pt>
                <c:pt idx="82">
                  <c:v>90.36</c:v>
                </c:pt>
                <c:pt idx="83">
                  <c:v>82.08</c:v>
                </c:pt>
                <c:pt idx="84">
                  <c:v>256.2</c:v>
                </c:pt>
                <c:pt idx="85">
                  <c:v>231.84</c:v>
                </c:pt>
                <c:pt idx="86">
                  <c:v>91.56</c:v>
                </c:pt>
                <c:pt idx="87">
                  <c:v>132.84</c:v>
                </c:pt>
                <c:pt idx="88">
                  <c:v>105.96</c:v>
                </c:pt>
                <c:pt idx="89">
                  <c:v>131.76</c:v>
                </c:pt>
                <c:pt idx="90">
                  <c:v>161.16</c:v>
                </c:pt>
                <c:pt idx="91">
                  <c:v>34.32</c:v>
                </c:pt>
                <c:pt idx="92">
                  <c:v>261.24</c:v>
                </c:pt>
                <c:pt idx="93">
                  <c:v>301.08</c:v>
                </c:pt>
                <c:pt idx="94">
                  <c:v>128.88</c:v>
                </c:pt>
                <c:pt idx="95">
                  <c:v>195.96</c:v>
                </c:pt>
                <c:pt idx="96">
                  <c:v>237.12</c:v>
                </c:pt>
                <c:pt idx="97">
                  <c:v>221.88</c:v>
                </c:pt>
                <c:pt idx="98">
                  <c:v>347.64</c:v>
                </c:pt>
                <c:pt idx="99">
                  <c:v>162.24</c:v>
                </c:pt>
                <c:pt idx="100">
                  <c:v>266.88</c:v>
                </c:pt>
                <c:pt idx="101">
                  <c:v>355.68</c:v>
                </c:pt>
                <c:pt idx="102">
                  <c:v>336.24</c:v>
                </c:pt>
                <c:pt idx="103">
                  <c:v>225.48</c:v>
                </c:pt>
                <c:pt idx="104">
                  <c:v>285.83999999999997</c:v>
                </c:pt>
                <c:pt idx="105">
                  <c:v>165.48</c:v>
                </c:pt>
                <c:pt idx="106">
                  <c:v>30</c:v>
                </c:pt>
                <c:pt idx="107">
                  <c:v>108.48</c:v>
                </c:pt>
                <c:pt idx="108">
                  <c:v>15.72</c:v>
                </c:pt>
                <c:pt idx="109">
                  <c:v>306.48</c:v>
                </c:pt>
                <c:pt idx="110">
                  <c:v>270.95999999999998</c:v>
                </c:pt>
                <c:pt idx="111">
                  <c:v>290.04000000000002</c:v>
                </c:pt>
                <c:pt idx="112">
                  <c:v>210.84</c:v>
                </c:pt>
                <c:pt idx="113">
                  <c:v>251.52</c:v>
                </c:pt>
                <c:pt idx="114">
                  <c:v>93.84</c:v>
                </c:pt>
                <c:pt idx="115">
                  <c:v>90.12</c:v>
                </c:pt>
                <c:pt idx="116">
                  <c:v>167.04</c:v>
                </c:pt>
                <c:pt idx="117">
                  <c:v>91.68</c:v>
                </c:pt>
                <c:pt idx="118">
                  <c:v>150.84</c:v>
                </c:pt>
                <c:pt idx="119">
                  <c:v>23.28</c:v>
                </c:pt>
                <c:pt idx="120">
                  <c:v>169.56</c:v>
                </c:pt>
                <c:pt idx="121">
                  <c:v>22.56</c:v>
                </c:pt>
                <c:pt idx="122">
                  <c:v>268.8</c:v>
                </c:pt>
                <c:pt idx="123">
                  <c:v>147.72</c:v>
                </c:pt>
                <c:pt idx="124">
                  <c:v>275.39999999999998</c:v>
                </c:pt>
                <c:pt idx="125">
                  <c:v>104.64</c:v>
                </c:pt>
                <c:pt idx="126">
                  <c:v>9.36</c:v>
                </c:pt>
                <c:pt idx="127">
                  <c:v>96.24</c:v>
                </c:pt>
                <c:pt idx="128">
                  <c:v>264.36</c:v>
                </c:pt>
                <c:pt idx="129">
                  <c:v>71.52</c:v>
                </c:pt>
                <c:pt idx="130">
                  <c:v>0.84</c:v>
                </c:pt>
                <c:pt idx="131">
                  <c:v>318.24</c:v>
                </c:pt>
                <c:pt idx="132">
                  <c:v>10.08</c:v>
                </c:pt>
                <c:pt idx="133">
                  <c:v>263.76</c:v>
                </c:pt>
                <c:pt idx="134">
                  <c:v>44.28</c:v>
                </c:pt>
                <c:pt idx="135">
                  <c:v>57.96</c:v>
                </c:pt>
                <c:pt idx="136">
                  <c:v>30.72</c:v>
                </c:pt>
                <c:pt idx="137">
                  <c:v>328.44</c:v>
                </c:pt>
                <c:pt idx="138">
                  <c:v>51.6</c:v>
                </c:pt>
                <c:pt idx="139">
                  <c:v>221.88</c:v>
                </c:pt>
                <c:pt idx="140">
                  <c:v>88.08</c:v>
                </c:pt>
                <c:pt idx="141">
                  <c:v>232.44</c:v>
                </c:pt>
                <c:pt idx="142">
                  <c:v>264.60000000000002</c:v>
                </c:pt>
                <c:pt idx="143">
                  <c:v>125.52</c:v>
                </c:pt>
                <c:pt idx="144">
                  <c:v>115.44</c:v>
                </c:pt>
                <c:pt idx="145">
                  <c:v>168.36</c:v>
                </c:pt>
                <c:pt idx="146">
                  <c:v>288.12</c:v>
                </c:pt>
                <c:pt idx="147">
                  <c:v>291.83999999999997</c:v>
                </c:pt>
                <c:pt idx="148">
                  <c:v>45.6</c:v>
                </c:pt>
                <c:pt idx="149">
                  <c:v>53.64</c:v>
                </c:pt>
                <c:pt idx="150">
                  <c:v>336.84</c:v>
                </c:pt>
                <c:pt idx="151">
                  <c:v>145.19999999999999</c:v>
                </c:pt>
                <c:pt idx="152">
                  <c:v>237.12</c:v>
                </c:pt>
                <c:pt idx="153">
                  <c:v>205.56</c:v>
                </c:pt>
                <c:pt idx="154">
                  <c:v>225.36</c:v>
                </c:pt>
                <c:pt idx="155">
                  <c:v>4.92</c:v>
                </c:pt>
                <c:pt idx="156">
                  <c:v>112.68</c:v>
                </c:pt>
                <c:pt idx="157">
                  <c:v>179.76</c:v>
                </c:pt>
                <c:pt idx="158">
                  <c:v>14.04</c:v>
                </c:pt>
                <c:pt idx="159">
                  <c:v>158.04</c:v>
                </c:pt>
                <c:pt idx="160">
                  <c:v>207</c:v>
                </c:pt>
                <c:pt idx="161">
                  <c:v>102.84</c:v>
                </c:pt>
                <c:pt idx="162">
                  <c:v>226.08</c:v>
                </c:pt>
                <c:pt idx="163">
                  <c:v>196.2</c:v>
                </c:pt>
                <c:pt idx="164">
                  <c:v>140.63999999999999</c:v>
                </c:pt>
                <c:pt idx="165">
                  <c:v>281.39999999999998</c:v>
                </c:pt>
                <c:pt idx="166">
                  <c:v>21.48</c:v>
                </c:pt>
                <c:pt idx="167">
                  <c:v>248.16</c:v>
                </c:pt>
                <c:pt idx="168">
                  <c:v>258.48</c:v>
                </c:pt>
                <c:pt idx="169">
                  <c:v>341.16</c:v>
                </c:pt>
                <c:pt idx="170">
                  <c:v>60</c:v>
                </c:pt>
                <c:pt idx="171">
                  <c:v>197.4</c:v>
                </c:pt>
                <c:pt idx="172">
                  <c:v>23.52</c:v>
                </c:pt>
                <c:pt idx="173">
                  <c:v>202.08</c:v>
                </c:pt>
                <c:pt idx="174">
                  <c:v>266.88</c:v>
                </c:pt>
                <c:pt idx="175">
                  <c:v>332.28</c:v>
                </c:pt>
                <c:pt idx="176">
                  <c:v>298.08</c:v>
                </c:pt>
                <c:pt idx="177">
                  <c:v>204.24</c:v>
                </c:pt>
                <c:pt idx="178">
                  <c:v>332.04</c:v>
                </c:pt>
                <c:pt idx="179">
                  <c:v>198.72</c:v>
                </c:pt>
                <c:pt idx="180">
                  <c:v>187.92</c:v>
                </c:pt>
                <c:pt idx="181">
                  <c:v>262.2</c:v>
                </c:pt>
                <c:pt idx="182">
                  <c:v>67.44</c:v>
                </c:pt>
                <c:pt idx="183">
                  <c:v>345.12</c:v>
                </c:pt>
                <c:pt idx="184">
                  <c:v>304.56</c:v>
                </c:pt>
                <c:pt idx="185">
                  <c:v>246</c:v>
                </c:pt>
                <c:pt idx="186">
                  <c:v>167.4</c:v>
                </c:pt>
                <c:pt idx="187">
                  <c:v>229.32</c:v>
                </c:pt>
                <c:pt idx="188">
                  <c:v>343.2</c:v>
                </c:pt>
                <c:pt idx="189">
                  <c:v>22.44</c:v>
                </c:pt>
                <c:pt idx="190">
                  <c:v>47.4</c:v>
                </c:pt>
                <c:pt idx="191">
                  <c:v>90.6</c:v>
                </c:pt>
                <c:pt idx="192">
                  <c:v>20.64</c:v>
                </c:pt>
                <c:pt idx="193">
                  <c:v>200.16</c:v>
                </c:pt>
                <c:pt idx="194">
                  <c:v>179.64</c:v>
                </c:pt>
                <c:pt idx="195">
                  <c:v>45.84</c:v>
                </c:pt>
                <c:pt idx="196">
                  <c:v>113.04</c:v>
                </c:pt>
                <c:pt idx="197">
                  <c:v>212.4</c:v>
                </c:pt>
                <c:pt idx="198">
                  <c:v>340.32</c:v>
                </c:pt>
                <c:pt idx="199">
                  <c:v>278.52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1-45A5-89CD-4DEA5369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463439"/>
        <c:axId val="1696464399"/>
      </c:scatterChart>
      <c:valAx>
        <c:axId val="169646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64399"/>
        <c:crosses val="autoZero"/>
        <c:crossBetween val="midCat"/>
      </c:valAx>
      <c:valAx>
        <c:axId val="169646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6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facebook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facebook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</c:f>
              <c:numCache>
                <c:formatCode>General</c:formatCode>
                <c:ptCount val="200"/>
                <c:pt idx="0">
                  <c:v>26.52</c:v>
                </c:pt>
                <c:pt idx="1">
                  <c:v>12.48</c:v>
                </c:pt>
                <c:pt idx="2">
                  <c:v>11.16</c:v>
                </c:pt>
                <c:pt idx="3">
                  <c:v>22.2</c:v>
                </c:pt>
                <c:pt idx="4">
                  <c:v>15.48</c:v>
                </c:pt>
                <c:pt idx="5">
                  <c:v>8.64</c:v>
                </c:pt>
                <c:pt idx="6">
                  <c:v>14.16</c:v>
                </c:pt>
                <c:pt idx="7">
                  <c:v>15.84</c:v>
                </c:pt>
                <c:pt idx="8">
                  <c:v>5.76</c:v>
                </c:pt>
                <c:pt idx="9">
                  <c:v>12.72</c:v>
                </c:pt>
                <c:pt idx="10">
                  <c:v>10.32</c:v>
                </c:pt>
                <c:pt idx="11">
                  <c:v>20.88</c:v>
                </c:pt>
                <c:pt idx="12">
                  <c:v>11.04</c:v>
                </c:pt>
                <c:pt idx="13">
                  <c:v>11.64</c:v>
                </c:pt>
                <c:pt idx="14">
                  <c:v>22.8</c:v>
                </c:pt>
                <c:pt idx="15">
                  <c:v>26.88</c:v>
                </c:pt>
                <c:pt idx="16">
                  <c:v>15</c:v>
                </c:pt>
                <c:pt idx="17">
                  <c:v>29.28</c:v>
                </c:pt>
                <c:pt idx="18">
                  <c:v>13.56</c:v>
                </c:pt>
                <c:pt idx="19">
                  <c:v>17.52</c:v>
                </c:pt>
                <c:pt idx="20">
                  <c:v>21.6</c:v>
                </c:pt>
                <c:pt idx="21">
                  <c:v>15</c:v>
                </c:pt>
                <c:pt idx="22">
                  <c:v>6.72</c:v>
                </c:pt>
                <c:pt idx="23">
                  <c:v>18.600000000000001</c:v>
                </c:pt>
                <c:pt idx="24">
                  <c:v>11.64</c:v>
                </c:pt>
                <c:pt idx="25">
                  <c:v>14.4</c:v>
                </c:pt>
                <c:pt idx="26">
                  <c:v>18</c:v>
                </c:pt>
                <c:pt idx="27">
                  <c:v>19.079999999999998</c:v>
                </c:pt>
                <c:pt idx="28">
                  <c:v>22.68</c:v>
                </c:pt>
                <c:pt idx="29">
                  <c:v>12.6</c:v>
                </c:pt>
                <c:pt idx="30">
                  <c:v>25.68</c:v>
                </c:pt>
                <c:pt idx="31">
                  <c:v>14.28</c:v>
                </c:pt>
                <c:pt idx="32">
                  <c:v>11.52</c:v>
                </c:pt>
                <c:pt idx="33">
                  <c:v>20.88</c:v>
                </c:pt>
                <c:pt idx="34">
                  <c:v>11.4</c:v>
                </c:pt>
                <c:pt idx="35">
                  <c:v>15.36</c:v>
                </c:pt>
                <c:pt idx="36">
                  <c:v>30.48</c:v>
                </c:pt>
                <c:pt idx="37">
                  <c:v>17.64</c:v>
                </c:pt>
                <c:pt idx="38">
                  <c:v>12.12</c:v>
                </c:pt>
                <c:pt idx="39">
                  <c:v>25.8</c:v>
                </c:pt>
                <c:pt idx="40">
                  <c:v>19.920000000000002</c:v>
                </c:pt>
                <c:pt idx="41">
                  <c:v>20.52</c:v>
                </c:pt>
                <c:pt idx="42">
                  <c:v>24.84</c:v>
                </c:pt>
                <c:pt idx="43">
                  <c:v>15.48</c:v>
                </c:pt>
                <c:pt idx="44">
                  <c:v>10.199999999999999</c:v>
                </c:pt>
                <c:pt idx="45">
                  <c:v>17.88</c:v>
                </c:pt>
                <c:pt idx="46">
                  <c:v>12.72</c:v>
                </c:pt>
                <c:pt idx="47">
                  <c:v>27.84</c:v>
                </c:pt>
                <c:pt idx="48">
                  <c:v>17.760000000000002</c:v>
                </c:pt>
                <c:pt idx="49">
                  <c:v>11.64</c:v>
                </c:pt>
                <c:pt idx="50">
                  <c:v>13.68</c:v>
                </c:pt>
                <c:pt idx="51">
                  <c:v>12.84</c:v>
                </c:pt>
                <c:pt idx="52">
                  <c:v>27.12</c:v>
                </c:pt>
                <c:pt idx="53">
                  <c:v>25.44</c:v>
                </c:pt>
                <c:pt idx="54">
                  <c:v>24.24</c:v>
                </c:pt>
                <c:pt idx="55">
                  <c:v>28.44</c:v>
                </c:pt>
                <c:pt idx="56">
                  <c:v>6.6</c:v>
                </c:pt>
                <c:pt idx="57">
                  <c:v>15.84</c:v>
                </c:pt>
                <c:pt idx="58">
                  <c:v>28.56</c:v>
                </c:pt>
                <c:pt idx="59">
                  <c:v>22.08</c:v>
                </c:pt>
                <c:pt idx="60">
                  <c:v>9.7200000000000006</c:v>
                </c:pt>
                <c:pt idx="61">
                  <c:v>29.04</c:v>
                </c:pt>
                <c:pt idx="62">
                  <c:v>18.84</c:v>
                </c:pt>
                <c:pt idx="63">
                  <c:v>16.8</c:v>
                </c:pt>
                <c:pt idx="64">
                  <c:v>21.6</c:v>
                </c:pt>
                <c:pt idx="65">
                  <c:v>11.16</c:v>
                </c:pt>
                <c:pt idx="66">
                  <c:v>11.4</c:v>
                </c:pt>
                <c:pt idx="67">
                  <c:v>16.079999999999998</c:v>
                </c:pt>
                <c:pt idx="68">
                  <c:v>22.68</c:v>
                </c:pt>
                <c:pt idx="69">
                  <c:v>26.76</c:v>
                </c:pt>
                <c:pt idx="70">
                  <c:v>21.96</c:v>
                </c:pt>
                <c:pt idx="71">
                  <c:v>14.88</c:v>
                </c:pt>
                <c:pt idx="72">
                  <c:v>10.56</c:v>
                </c:pt>
                <c:pt idx="73">
                  <c:v>13.2</c:v>
                </c:pt>
                <c:pt idx="74">
                  <c:v>20.399999999999999</c:v>
                </c:pt>
                <c:pt idx="75">
                  <c:v>10.44</c:v>
                </c:pt>
                <c:pt idx="76">
                  <c:v>8.2799999999999994</c:v>
                </c:pt>
                <c:pt idx="77">
                  <c:v>17.04</c:v>
                </c:pt>
                <c:pt idx="78">
                  <c:v>6.36</c:v>
                </c:pt>
                <c:pt idx="79">
                  <c:v>13.2</c:v>
                </c:pt>
                <c:pt idx="80">
                  <c:v>14.16</c:v>
                </c:pt>
                <c:pt idx="81">
                  <c:v>14.76</c:v>
                </c:pt>
                <c:pt idx="82">
                  <c:v>13.56</c:v>
                </c:pt>
                <c:pt idx="83">
                  <c:v>16.32</c:v>
                </c:pt>
                <c:pt idx="84">
                  <c:v>26.04</c:v>
                </c:pt>
                <c:pt idx="85">
                  <c:v>18.239999999999998</c:v>
                </c:pt>
                <c:pt idx="86">
                  <c:v>14.4</c:v>
                </c:pt>
                <c:pt idx="87">
                  <c:v>19.2</c:v>
                </c:pt>
                <c:pt idx="88">
                  <c:v>15.48</c:v>
                </c:pt>
                <c:pt idx="89">
                  <c:v>20.04</c:v>
                </c:pt>
                <c:pt idx="90">
                  <c:v>13.44</c:v>
                </c:pt>
                <c:pt idx="91">
                  <c:v>8.76</c:v>
                </c:pt>
                <c:pt idx="92">
                  <c:v>23.28</c:v>
                </c:pt>
                <c:pt idx="93">
                  <c:v>26.64</c:v>
                </c:pt>
                <c:pt idx="94">
                  <c:v>13.8</c:v>
                </c:pt>
                <c:pt idx="95">
                  <c:v>20.28</c:v>
                </c:pt>
                <c:pt idx="96">
                  <c:v>14.04</c:v>
                </c:pt>
                <c:pt idx="97">
                  <c:v>18.600000000000001</c:v>
                </c:pt>
                <c:pt idx="98">
                  <c:v>30.48</c:v>
                </c:pt>
                <c:pt idx="99">
                  <c:v>20.64</c:v>
                </c:pt>
                <c:pt idx="100">
                  <c:v>14.04</c:v>
                </c:pt>
                <c:pt idx="101">
                  <c:v>28.56</c:v>
                </c:pt>
                <c:pt idx="102">
                  <c:v>17.760000000000002</c:v>
                </c:pt>
                <c:pt idx="103">
                  <c:v>17.64</c:v>
                </c:pt>
                <c:pt idx="104">
                  <c:v>24.84</c:v>
                </c:pt>
                <c:pt idx="105">
                  <c:v>23.04</c:v>
                </c:pt>
                <c:pt idx="106">
                  <c:v>8.64</c:v>
                </c:pt>
                <c:pt idx="107">
                  <c:v>10.44</c:v>
                </c:pt>
                <c:pt idx="108">
                  <c:v>6.36</c:v>
                </c:pt>
                <c:pt idx="109">
                  <c:v>23.76</c:v>
                </c:pt>
                <c:pt idx="110">
                  <c:v>16.079999999999998</c:v>
                </c:pt>
                <c:pt idx="111">
                  <c:v>26.16</c:v>
                </c:pt>
                <c:pt idx="112">
                  <c:v>16.920000000000002</c:v>
                </c:pt>
                <c:pt idx="113">
                  <c:v>19.079999999999998</c:v>
                </c:pt>
                <c:pt idx="114">
                  <c:v>17.52</c:v>
                </c:pt>
                <c:pt idx="115">
                  <c:v>15.12</c:v>
                </c:pt>
                <c:pt idx="116">
                  <c:v>14.64</c:v>
                </c:pt>
                <c:pt idx="117">
                  <c:v>11.28</c:v>
                </c:pt>
                <c:pt idx="118">
                  <c:v>19.079999999999998</c:v>
                </c:pt>
                <c:pt idx="119">
                  <c:v>7.92</c:v>
                </c:pt>
                <c:pt idx="120">
                  <c:v>18.600000000000001</c:v>
                </c:pt>
                <c:pt idx="121">
                  <c:v>8.4</c:v>
                </c:pt>
                <c:pt idx="122">
                  <c:v>13.92</c:v>
                </c:pt>
                <c:pt idx="123">
                  <c:v>18.239999999999998</c:v>
                </c:pt>
                <c:pt idx="124">
                  <c:v>23.64</c:v>
                </c:pt>
                <c:pt idx="125">
                  <c:v>12.72</c:v>
                </c:pt>
                <c:pt idx="126">
                  <c:v>7.92</c:v>
                </c:pt>
                <c:pt idx="127">
                  <c:v>10.56</c:v>
                </c:pt>
                <c:pt idx="128">
                  <c:v>29.64</c:v>
                </c:pt>
                <c:pt idx="129">
                  <c:v>11.64</c:v>
                </c:pt>
                <c:pt idx="130">
                  <c:v>1.92</c:v>
                </c:pt>
                <c:pt idx="131">
                  <c:v>15.24</c:v>
                </c:pt>
                <c:pt idx="132">
                  <c:v>6.84</c:v>
                </c:pt>
                <c:pt idx="133">
                  <c:v>23.52</c:v>
                </c:pt>
                <c:pt idx="134">
                  <c:v>12.96</c:v>
                </c:pt>
                <c:pt idx="135">
                  <c:v>13.92</c:v>
                </c:pt>
                <c:pt idx="136">
                  <c:v>11.4</c:v>
                </c:pt>
                <c:pt idx="137">
                  <c:v>24.96</c:v>
                </c:pt>
                <c:pt idx="138">
                  <c:v>11.52</c:v>
                </c:pt>
                <c:pt idx="139">
                  <c:v>24.84</c:v>
                </c:pt>
                <c:pt idx="140">
                  <c:v>13.08</c:v>
                </c:pt>
                <c:pt idx="141">
                  <c:v>23.04</c:v>
                </c:pt>
                <c:pt idx="142">
                  <c:v>24.12</c:v>
                </c:pt>
                <c:pt idx="143">
                  <c:v>12.48</c:v>
                </c:pt>
                <c:pt idx="144">
                  <c:v>13.68</c:v>
                </c:pt>
                <c:pt idx="145">
                  <c:v>12.36</c:v>
                </c:pt>
                <c:pt idx="146">
                  <c:v>15.84</c:v>
                </c:pt>
                <c:pt idx="147">
                  <c:v>30.48</c:v>
                </c:pt>
                <c:pt idx="148">
                  <c:v>13.08</c:v>
                </c:pt>
                <c:pt idx="149">
                  <c:v>12.12</c:v>
                </c:pt>
                <c:pt idx="150">
                  <c:v>19.32</c:v>
                </c:pt>
                <c:pt idx="151">
                  <c:v>13.92</c:v>
                </c:pt>
                <c:pt idx="152">
                  <c:v>19.920000000000002</c:v>
                </c:pt>
                <c:pt idx="153">
                  <c:v>22.8</c:v>
                </c:pt>
                <c:pt idx="154">
                  <c:v>18.72</c:v>
                </c:pt>
                <c:pt idx="155">
                  <c:v>3.84</c:v>
                </c:pt>
                <c:pt idx="156">
                  <c:v>18.36</c:v>
                </c:pt>
                <c:pt idx="157">
                  <c:v>12.12</c:v>
                </c:pt>
                <c:pt idx="158">
                  <c:v>8.76</c:v>
                </c:pt>
                <c:pt idx="159">
                  <c:v>15.48</c:v>
                </c:pt>
                <c:pt idx="160">
                  <c:v>17.28</c:v>
                </c:pt>
                <c:pt idx="161">
                  <c:v>15.96</c:v>
                </c:pt>
                <c:pt idx="162">
                  <c:v>17.88</c:v>
                </c:pt>
                <c:pt idx="163">
                  <c:v>21.6</c:v>
                </c:pt>
                <c:pt idx="164">
                  <c:v>14.28</c:v>
                </c:pt>
                <c:pt idx="165">
                  <c:v>14.28</c:v>
                </c:pt>
                <c:pt idx="166">
                  <c:v>9.6</c:v>
                </c:pt>
                <c:pt idx="167">
                  <c:v>14.64</c:v>
                </c:pt>
                <c:pt idx="168">
                  <c:v>20.52</c:v>
                </c:pt>
                <c:pt idx="169">
                  <c:v>18</c:v>
                </c:pt>
                <c:pt idx="170">
                  <c:v>10.08</c:v>
                </c:pt>
                <c:pt idx="171">
                  <c:v>17.399999999999999</c:v>
                </c:pt>
                <c:pt idx="172">
                  <c:v>9.1199999999999992</c:v>
                </c:pt>
                <c:pt idx="173">
                  <c:v>14.04</c:v>
                </c:pt>
                <c:pt idx="174">
                  <c:v>13.8</c:v>
                </c:pt>
                <c:pt idx="175">
                  <c:v>32.4</c:v>
                </c:pt>
                <c:pt idx="176">
                  <c:v>24.24</c:v>
                </c:pt>
                <c:pt idx="177">
                  <c:v>14.04</c:v>
                </c:pt>
                <c:pt idx="178">
                  <c:v>14.16</c:v>
                </c:pt>
                <c:pt idx="179">
                  <c:v>15.12</c:v>
                </c:pt>
                <c:pt idx="180">
                  <c:v>12.6</c:v>
                </c:pt>
                <c:pt idx="181">
                  <c:v>14.64</c:v>
                </c:pt>
                <c:pt idx="182">
                  <c:v>10.44</c:v>
                </c:pt>
                <c:pt idx="183">
                  <c:v>31.44</c:v>
                </c:pt>
                <c:pt idx="184">
                  <c:v>21.12</c:v>
                </c:pt>
                <c:pt idx="185">
                  <c:v>27.12</c:v>
                </c:pt>
                <c:pt idx="186">
                  <c:v>12.36</c:v>
                </c:pt>
                <c:pt idx="187">
                  <c:v>20.76</c:v>
                </c:pt>
                <c:pt idx="188">
                  <c:v>19.079999999999998</c:v>
                </c:pt>
                <c:pt idx="189">
                  <c:v>8.0399999999999991</c:v>
                </c:pt>
                <c:pt idx="190">
                  <c:v>12.96</c:v>
                </c:pt>
                <c:pt idx="191">
                  <c:v>11.88</c:v>
                </c:pt>
                <c:pt idx="192">
                  <c:v>7.08</c:v>
                </c:pt>
                <c:pt idx="193">
                  <c:v>23.52</c:v>
                </c:pt>
                <c:pt idx="194">
                  <c:v>20.76</c:v>
                </c:pt>
                <c:pt idx="195">
                  <c:v>9.1199999999999992</c:v>
                </c:pt>
                <c:pt idx="196">
                  <c:v>11.64</c:v>
                </c:pt>
                <c:pt idx="197">
                  <c:v>15.36</c:v>
                </c:pt>
                <c:pt idx="198">
                  <c:v>30.6</c:v>
                </c:pt>
                <c:pt idx="199">
                  <c:v>16.079999999999998</c:v>
                </c:pt>
              </c:numCache>
            </c:numRef>
          </c:xVal>
          <c:yVal>
            <c:numRef>
              <c:f>Data!$D$2:$D$201</c:f>
              <c:numCache>
                <c:formatCode>General</c:formatCode>
                <c:ptCount val="200"/>
                <c:pt idx="0">
                  <c:v>45.36</c:v>
                </c:pt>
                <c:pt idx="1">
                  <c:v>47.16</c:v>
                </c:pt>
                <c:pt idx="2">
                  <c:v>55.08</c:v>
                </c:pt>
                <c:pt idx="3">
                  <c:v>49.56</c:v>
                </c:pt>
                <c:pt idx="4">
                  <c:v>12.96</c:v>
                </c:pt>
                <c:pt idx="5">
                  <c:v>58.68</c:v>
                </c:pt>
                <c:pt idx="6">
                  <c:v>39.36</c:v>
                </c:pt>
                <c:pt idx="7">
                  <c:v>23.52</c:v>
                </c:pt>
                <c:pt idx="8">
                  <c:v>2.52</c:v>
                </c:pt>
                <c:pt idx="9">
                  <c:v>3.12</c:v>
                </c:pt>
                <c:pt idx="10">
                  <c:v>6.96</c:v>
                </c:pt>
                <c:pt idx="11">
                  <c:v>28.8</c:v>
                </c:pt>
                <c:pt idx="12">
                  <c:v>42.12</c:v>
                </c:pt>
                <c:pt idx="13">
                  <c:v>9.1199999999999992</c:v>
                </c:pt>
                <c:pt idx="14">
                  <c:v>39.479999999999997</c:v>
                </c:pt>
                <c:pt idx="15">
                  <c:v>57.24</c:v>
                </c:pt>
                <c:pt idx="16">
                  <c:v>43.92</c:v>
                </c:pt>
                <c:pt idx="17">
                  <c:v>47.52</c:v>
                </c:pt>
                <c:pt idx="18">
                  <c:v>24.6</c:v>
                </c:pt>
                <c:pt idx="19">
                  <c:v>28.68</c:v>
                </c:pt>
                <c:pt idx="20">
                  <c:v>33.24</c:v>
                </c:pt>
                <c:pt idx="21">
                  <c:v>6.12</c:v>
                </c:pt>
                <c:pt idx="22">
                  <c:v>19.079999999999998</c:v>
                </c:pt>
                <c:pt idx="23">
                  <c:v>20.28</c:v>
                </c:pt>
                <c:pt idx="24">
                  <c:v>15.12</c:v>
                </c:pt>
                <c:pt idx="25">
                  <c:v>4.2</c:v>
                </c:pt>
                <c:pt idx="26">
                  <c:v>35.159999999999997</c:v>
                </c:pt>
                <c:pt idx="27">
                  <c:v>20.04</c:v>
                </c:pt>
                <c:pt idx="28">
                  <c:v>32.520000000000003</c:v>
                </c:pt>
                <c:pt idx="29">
                  <c:v>19.2</c:v>
                </c:pt>
                <c:pt idx="30">
                  <c:v>33.96</c:v>
                </c:pt>
                <c:pt idx="31">
                  <c:v>20.88</c:v>
                </c:pt>
                <c:pt idx="32">
                  <c:v>1.8</c:v>
                </c:pt>
                <c:pt idx="33">
                  <c:v>24</c:v>
                </c:pt>
                <c:pt idx="34">
                  <c:v>1.68</c:v>
                </c:pt>
                <c:pt idx="35">
                  <c:v>4.92</c:v>
                </c:pt>
                <c:pt idx="36">
                  <c:v>52.56</c:v>
                </c:pt>
                <c:pt idx="37">
                  <c:v>59.28</c:v>
                </c:pt>
                <c:pt idx="38">
                  <c:v>32.04</c:v>
                </c:pt>
                <c:pt idx="39">
                  <c:v>45.24</c:v>
                </c:pt>
                <c:pt idx="40">
                  <c:v>26.76</c:v>
                </c:pt>
                <c:pt idx="41">
                  <c:v>40.08</c:v>
                </c:pt>
                <c:pt idx="42">
                  <c:v>33.24</c:v>
                </c:pt>
                <c:pt idx="43">
                  <c:v>10.08</c:v>
                </c:pt>
                <c:pt idx="44">
                  <c:v>30.84</c:v>
                </c:pt>
                <c:pt idx="45">
                  <c:v>27</c:v>
                </c:pt>
                <c:pt idx="46">
                  <c:v>11.88</c:v>
                </c:pt>
                <c:pt idx="47">
                  <c:v>49.8</c:v>
                </c:pt>
                <c:pt idx="48">
                  <c:v>18.96</c:v>
                </c:pt>
                <c:pt idx="49">
                  <c:v>14.04</c:v>
                </c:pt>
                <c:pt idx="50">
                  <c:v>3.72</c:v>
                </c:pt>
                <c:pt idx="51">
                  <c:v>11.52</c:v>
                </c:pt>
                <c:pt idx="52">
                  <c:v>50.04</c:v>
                </c:pt>
                <c:pt idx="53">
                  <c:v>55.44</c:v>
                </c:pt>
                <c:pt idx="54">
                  <c:v>34.56</c:v>
                </c:pt>
                <c:pt idx="55">
                  <c:v>59.28</c:v>
                </c:pt>
                <c:pt idx="56">
                  <c:v>33.72</c:v>
                </c:pt>
                <c:pt idx="57">
                  <c:v>23.04</c:v>
                </c:pt>
                <c:pt idx="58">
                  <c:v>59.52</c:v>
                </c:pt>
                <c:pt idx="59">
                  <c:v>35.4</c:v>
                </c:pt>
                <c:pt idx="60">
                  <c:v>2.4</c:v>
                </c:pt>
                <c:pt idx="61">
                  <c:v>51.24</c:v>
                </c:pt>
                <c:pt idx="62">
                  <c:v>18.600000000000001</c:v>
                </c:pt>
                <c:pt idx="63">
                  <c:v>35.520000000000003</c:v>
                </c:pt>
                <c:pt idx="64">
                  <c:v>51.36</c:v>
                </c:pt>
                <c:pt idx="65">
                  <c:v>11.16</c:v>
                </c:pt>
                <c:pt idx="66">
                  <c:v>29.52</c:v>
                </c:pt>
                <c:pt idx="67">
                  <c:v>17.399999999999999</c:v>
                </c:pt>
                <c:pt idx="68">
                  <c:v>33</c:v>
                </c:pt>
                <c:pt idx="69">
                  <c:v>52.68</c:v>
                </c:pt>
                <c:pt idx="70">
                  <c:v>36.72</c:v>
                </c:pt>
                <c:pt idx="71">
                  <c:v>17.16</c:v>
                </c:pt>
                <c:pt idx="72">
                  <c:v>39.6</c:v>
                </c:pt>
                <c:pt idx="73">
                  <c:v>6.84</c:v>
                </c:pt>
                <c:pt idx="74">
                  <c:v>29.52</c:v>
                </c:pt>
                <c:pt idx="75">
                  <c:v>52.44</c:v>
                </c:pt>
                <c:pt idx="76">
                  <c:v>1.92</c:v>
                </c:pt>
                <c:pt idx="77">
                  <c:v>34.200000000000003</c:v>
                </c:pt>
                <c:pt idx="78">
                  <c:v>35.880000000000003</c:v>
                </c:pt>
                <c:pt idx="79">
                  <c:v>9.24</c:v>
                </c:pt>
                <c:pt idx="80">
                  <c:v>32.04</c:v>
                </c:pt>
                <c:pt idx="81">
                  <c:v>4.92</c:v>
                </c:pt>
                <c:pt idx="82">
                  <c:v>24.36</c:v>
                </c:pt>
                <c:pt idx="83">
                  <c:v>53.4</c:v>
                </c:pt>
                <c:pt idx="84">
                  <c:v>51.6</c:v>
                </c:pt>
                <c:pt idx="85">
                  <c:v>22.08</c:v>
                </c:pt>
                <c:pt idx="86">
                  <c:v>33</c:v>
                </c:pt>
                <c:pt idx="87">
                  <c:v>48.72</c:v>
                </c:pt>
                <c:pt idx="88">
                  <c:v>30.6</c:v>
                </c:pt>
                <c:pt idx="89">
                  <c:v>57.36</c:v>
                </c:pt>
                <c:pt idx="90">
                  <c:v>5.88</c:v>
                </c:pt>
                <c:pt idx="91">
                  <c:v>1.8</c:v>
                </c:pt>
                <c:pt idx="92">
                  <c:v>40.200000000000003</c:v>
                </c:pt>
                <c:pt idx="93">
                  <c:v>43.8</c:v>
                </c:pt>
                <c:pt idx="94">
                  <c:v>16.8</c:v>
                </c:pt>
                <c:pt idx="95">
                  <c:v>37.92</c:v>
                </c:pt>
                <c:pt idx="96">
                  <c:v>4.2</c:v>
                </c:pt>
                <c:pt idx="97">
                  <c:v>25.2</c:v>
                </c:pt>
                <c:pt idx="98">
                  <c:v>50.76</c:v>
                </c:pt>
                <c:pt idx="99">
                  <c:v>50.04</c:v>
                </c:pt>
                <c:pt idx="100">
                  <c:v>5.16</c:v>
                </c:pt>
                <c:pt idx="101">
                  <c:v>43.56</c:v>
                </c:pt>
                <c:pt idx="102">
                  <c:v>12.12</c:v>
                </c:pt>
                <c:pt idx="103">
                  <c:v>20.64</c:v>
                </c:pt>
                <c:pt idx="104">
                  <c:v>41.16</c:v>
                </c:pt>
                <c:pt idx="105">
                  <c:v>55.68</c:v>
                </c:pt>
                <c:pt idx="106">
                  <c:v>13.2</c:v>
                </c:pt>
                <c:pt idx="107">
                  <c:v>0.36</c:v>
                </c:pt>
                <c:pt idx="108">
                  <c:v>0.48</c:v>
                </c:pt>
                <c:pt idx="109">
                  <c:v>32.28</c:v>
                </c:pt>
                <c:pt idx="110">
                  <c:v>9.84</c:v>
                </c:pt>
                <c:pt idx="111">
                  <c:v>45.6</c:v>
                </c:pt>
                <c:pt idx="112">
                  <c:v>18.48</c:v>
                </c:pt>
                <c:pt idx="113">
                  <c:v>24.72</c:v>
                </c:pt>
                <c:pt idx="114">
                  <c:v>56.16</c:v>
                </c:pt>
                <c:pt idx="115">
                  <c:v>42</c:v>
                </c:pt>
                <c:pt idx="116">
                  <c:v>17.16</c:v>
                </c:pt>
                <c:pt idx="117">
                  <c:v>0.96</c:v>
                </c:pt>
                <c:pt idx="118">
                  <c:v>44.28</c:v>
                </c:pt>
                <c:pt idx="119">
                  <c:v>19.2</c:v>
                </c:pt>
                <c:pt idx="120">
                  <c:v>32.159999999999997</c:v>
                </c:pt>
                <c:pt idx="121">
                  <c:v>26.04</c:v>
                </c:pt>
                <c:pt idx="122">
                  <c:v>2.88</c:v>
                </c:pt>
                <c:pt idx="123">
                  <c:v>41.52</c:v>
                </c:pt>
                <c:pt idx="124">
                  <c:v>38.76</c:v>
                </c:pt>
                <c:pt idx="125">
                  <c:v>14.16</c:v>
                </c:pt>
                <c:pt idx="126">
                  <c:v>46.68</c:v>
                </c:pt>
                <c:pt idx="127">
                  <c:v>0</c:v>
                </c:pt>
                <c:pt idx="128">
                  <c:v>58.8</c:v>
                </c:pt>
                <c:pt idx="129">
                  <c:v>14.4</c:v>
                </c:pt>
                <c:pt idx="130">
                  <c:v>47.52</c:v>
                </c:pt>
                <c:pt idx="131">
                  <c:v>3.48</c:v>
                </c:pt>
                <c:pt idx="132">
                  <c:v>32.64</c:v>
                </c:pt>
                <c:pt idx="133">
                  <c:v>40.200000000000003</c:v>
                </c:pt>
                <c:pt idx="134">
                  <c:v>46.32</c:v>
                </c:pt>
                <c:pt idx="135">
                  <c:v>56.4</c:v>
                </c:pt>
                <c:pt idx="136">
                  <c:v>46.8</c:v>
                </c:pt>
                <c:pt idx="137">
                  <c:v>34.68</c:v>
                </c:pt>
                <c:pt idx="138">
                  <c:v>31.08</c:v>
                </c:pt>
                <c:pt idx="139">
                  <c:v>52.68</c:v>
                </c:pt>
                <c:pt idx="140">
                  <c:v>20.399999999999999</c:v>
                </c:pt>
                <c:pt idx="141">
                  <c:v>42.48</c:v>
                </c:pt>
                <c:pt idx="142">
                  <c:v>39.840000000000003</c:v>
                </c:pt>
                <c:pt idx="143">
                  <c:v>6.84</c:v>
                </c:pt>
                <c:pt idx="144">
                  <c:v>17.760000000000002</c:v>
                </c:pt>
                <c:pt idx="145">
                  <c:v>2.2799999999999998</c:v>
                </c:pt>
                <c:pt idx="146">
                  <c:v>8.76</c:v>
                </c:pt>
                <c:pt idx="147">
                  <c:v>58.8</c:v>
                </c:pt>
                <c:pt idx="148">
                  <c:v>48.36</c:v>
                </c:pt>
                <c:pt idx="149">
                  <c:v>30.96</c:v>
                </c:pt>
                <c:pt idx="150">
                  <c:v>16.68</c:v>
                </c:pt>
                <c:pt idx="151">
                  <c:v>10.08</c:v>
                </c:pt>
                <c:pt idx="152">
                  <c:v>27.96</c:v>
                </c:pt>
                <c:pt idx="153">
                  <c:v>47.64</c:v>
                </c:pt>
                <c:pt idx="154">
                  <c:v>25.32</c:v>
                </c:pt>
                <c:pt idx="155">
                  <c:v>13.92</c:v>
                </c:pt>
                <c:pt idx="156">
                  <c:v>52.2</c:v>
                </c:pt>
                <c:pt idx="157">
                  <c:v>1.56</c:v>
                </c:pt>
                <c:pt idx="158">
                  <c:v>44.28</c:v>
                </c:pt>
                <c:pt idx="159">
                  <c:v>22.08</c:v>
                </c:pt>
                <c:pt idx="160">
                  <c:v>21.72</c:v>
                </c:pt>
                <c:pt idx="161">
                  <c:v>42.96</c:v>
                </c:pt>
                <c:pt idx="162">
                  <c:v>21.72</c:v>
                </c:pt>
                <c:pt idx="163">
                  <c:v>44.16</c:v>
                </c:pt>
                <c:pt idx="164">
                  <c:v>17.64</c:v>
                </c:pt>
                <c:pt idx="165">
                  <c:v>4.08</c:v>
                </c:pt>
                <c:pt idx="166">
                  <c:v>45.12</c:v>
                </c:pt>
                <c:pt idx="167">
                  <c:v>6.24</c:v>
                </c:pt>
                <c:pt idx="168">
                  <c:v>28.32</c:v>
                </c:pt>
                <c:pt idx="169">
                  <c:v>12.72</c:v>
                </c:pt>
                <c:pt idx="170">
                  <c:v>13.92</c:v>
                </c:pt>
                <c:pt idx="171">
                  <c:v>25.08</c:v>
                </c:pt>
                <c:pt idx="172">
                  <c:v>24.12</c:v>
                </c:pt>
                <c:pt idx="173">
                  <c:v>8.52</c:v>
                </c:pt>
                <c:pt idx="174">
                  <c:v>4.08</c:v>
                </c:pt>
                <c:pt idx="175">
                  <c:v>58.68</c:v>
                </c:pt>
                <c:pt idx="176">
                  <c:v>36.24</c:v>
                </c:pt>
                <c:pt idx="177">
                  <c:v>9.36</c:v>
                </c:pt>
                <c:pt idx="178">
                  <c:v>2.76</c:v>
                </c:pt>
                <c:pt idx="179">
                  <c:v>12</c:v>
                </c:pt>
                <c:pt idx="180">
                  <c:v>3.12</c:v>
                </c:pt>
                <c:pt idx="181">
                  <c:v>6.48</c:v>
                </c:pt>
                <c:pt idx="182">
                  <c:v>6.84</c:v>
                </c:pt>
                <c:pt idx="183">
                  <c:v>51.6</c:v>
                </c:pt>
                <c:pt idx="184">
                  <c:v>25.56</c:v>
                </c:pt>
                <c:pt idx="185">
                  <c:v>54.12</c:v>
                </c:pt>
                <c:pt idx="186">
                  <c:v>2.52</c:v>
                </c:pt>
                <c:pt idx="187">
                  <c:v>34.44</c:v>
                </c:pt>
                <c:pt idx="188">
                  <c:v>16.68</c:v>
                </c:pt>
                <c:pt idx="189">
                  <c:v>14.52</c:v>
                </c:pt>
                <c:pt idx="190">
                  <c:v>49.32</c:v>
                </c:pt>
                <c:pt idx="191">
                  <c:v>12.96</c:v>
                </c:pt>
                <c:pt idx="192">
                  <c:v>4.92</c:v>
                </c:pt>
                <c:pt idx="193">
                  <c:v>50.4</c:v>
                </c:pt>
                <c:pt idx="194">
                  <c:v>42.72</c:v>
                </c:pt>
                <c:pt idx="195">
                  <c:v>4.4400000000000004</c:v>
                </c:pt>
                <c:pt idx="196">
                  <c:v>5.88</c:v>
                </c:pt>
                <c:pt idx="197">
                  <c:v>11.16</c:v>
                </c:pt>
                <c:pt idx="198">
                  <c:v>50.4</c:v>
                </c:pt>
                <c:pt idx="199">
                  <c:v>10.32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6A-4347-AA63-28422F85C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463439"/>
        <c:axId val="1696464399"/>
      </c:scatterChart>
      <c:valAx>
        <c:axId val="169646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64399"/>
        <c:crosses val="autoZero"/>
        <c:crossBetween val="midCat"/>
      </c:valAx>
      <c:valAx>
        <c:axId val="169646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6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Newspaper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newspaper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</c:f>
              <c:numCache>
                <c:formatCode>General</c:formatCode>
                <c:ptCount val="200"/>
                <c:pt idx="0">
                  <c:v>26.52</c:v>
                </c:pt>
                <c:pt idx="1">
                  <c:v>12.48</c:v>
                </c:pt>
                <c:pt idx="2">
                  <c:v>11.16</c:v>
                </c:pt>
                <c:pt idx="3">
                  <c:v>22.2</c:v>
                </c:pt>
                <c:pt idx="4">
                  <c:v>15.48</c:v>
                </c:pt>
                <c:pt idx="5">
                  <c:v>8.64</c:v>
                </c:pt>
                <c:pt idx="6">
                  <c:v>14.16</c:v>
                </c:pt>
                <c:pt idx="7">
                  <c:v>15.84</c:v>
                </c:pt>
                <c:pt idx="8">
                  <c:v>5.76</c:v>
                </c:pt>
                <c:pt idx="9">
                  <c:v>12.72</c:v>
                </c:pt>
                <c:pt idx="10">
                  <c:v>10.32</c:v>
                </c:pt>
                <c:pt idx="11">
                  <c:v>20.88</c:v>
                </c:pt>
                <c:pt idx="12">
                  <c:v>11.04</c:v>
                </c:pt>
                <c:pt idx="13">
                  <c:v>11.64</c:v>
                </c:pt>
                <c:pt idx="14">
                  <c:v>22.8</c:v>
                </c:pt>
                <c:pt idx="15">
                  <c:v>26.88</c:v>
                </c:pt>
                <c:pt idx="16">
                  <c:v>15</c:v>
                </c:pt>
                <c:pt idx="17">
                  <c:v>29.28</c:v>
                </c:pt>
                <c:pt idx="18">
                  <c:v>13.56</c:v>
                </c:pt>
                <c:pt idx="19">
                  <c:v>17.52</c:v>
                </c:pt>
                <c:pt idx="20">
                  <c:v>21.6</c:v>
                </c:pt>
                <c:pt idx="21">
                  <c:v>15</c:v>
                </c:pt>
                <c:pt idx="22">
                  <c:v>6.72</c:v>
                </c:pt>
                <c:pt idx="23">
                  <c:v>18.600000000000001</c:v>
                </c:pt>
                <c:pt idx="24">
                  <c:v>11.64</c:v>
                </c:pt>
                <c:pt idx="25">
                  <c:v>14.4</c:v>
                </c:pt>
                <c:pt idx="26">
                  <c:v>18</c:v>
                </c:pt>
                <c:pt idx="27">
                  <c:v>19.079999999999998</c:v>
                </c:pt>
                <c:pt idx="28">
                  <c:v>22.68</c:v>
                </c:pt>
                <c:pt idx="29">
                  <c:v>12.6</c:v>
                </c:pt>
                <c:pt idx="30">
                  <c:v>25.68</c:v>
                </c:pt>
                <c:pt idx="31">
                  <c:v>14.28</c:v>
                </c:pt>
                <c:pt idx="32">
                  <c:v>11.52</c:v>
                </c:pt>
                <c:pt idx="33">
                  <c:v>20.88</c:v>
                </c:pt>
                <c:pt idx="34">
                  <c:v>11.4</c:v>
                </c:pt>
                <c:pt idx="35">
                  <c:v>15.36</c:v>
                </c:pt>
                <c:pt idx="36">
                  <c:v>30.48</c:v>
                </c:pt>
                <c:pt idx="37">
                  <c:v>17.64</c:v>
                </c:pt>
                <c:pt idx="38">
                  <c:v>12.12</c:v>
                </c:pt>
                <c:pt idx="39">
                  <c:v>25.8</c:v>
                </c:pt>
                <c:pt idx="40">
                  <c:v>19.920000000000002</c:v>
                </c:pt>
                <c:pt idx="41">
                  <c:v>20.52</c:v>
                </c:pt>
                <c:pt idx="42">
                  <c:v>24.84</c:v>
                </c:pt>
                <c:pt idx="43">
                  <c:v>15.48</c:v>
                </c:pt>
                <c:pt idx="44">
                  <c:v>10.199999999999999</c:v>
                </c:pt>
                <c:pt idx="45">
                  <c:v>17.88</c:v>
                </c:pt>
                <c:pt idx="46">
                  <c:v>12.72</c:v>
                </c:pt>
                <c:pt idx="47">
                  <c:v>27.84</c:v>
                </c:pt>
                <c:pt idx="48">
                  <c:v>17.760000000000002</c:v>
                </c:pt>
                <c:pt idx="49">
                  <c:v>11.64</c:v>
                </c:pt>
                <c:pt idx="50">
                  <c:v>13.68</c:v>
                </c:pt>
                <c:pt idx="51">
                  <c:v>12.84</c:v>
                </c:pt>
                <c:pt idx="52">
                  <c:v>27.12</c:v>
                </c:pt>
                <c:pt idx="53">
                  <c:v>25.44</c:v>
                </c:pt>
                <c:pt idx="54">
                  <c:v>24.24</c:v>
                </c:pt>
                <c:pt idx="55">
                  <c:v>28.44</c:v>
                </c:pt>
                <c:pt idx="56">
                  <c:v>6.6</c:v>
                </c:pt>
                <c:pt idx="57">
                  <c:v>15.84</c:v>
                </c:pt>
                <c:pt idx="58">
                  <c:v>28.56</c:v>
                </c:pt>
                <c:pt idx="59">
                  <c:v>22.08</c:v>
                </c:pt>
                <c:pt idx="60">
                  <c:v>9.7200000000000006</c:v>
                </c:pt>
                <c:pt idx="61">
                  <c:v>29.04</c:v>
                </c:pt>
                <c:pt idx="62">
                  <c:v>18.84</c:v>
                </c:pt>
                <c:pt idx="63">
                  <c:v>16.8</c:v>
                </c:pt>
                <c:pt idx="64">
                  <c:v>21.6</c:v>
                </c:pt>
                <c:pt idx="65">
                  <c:v>11.16</c:v>
                </c:pt>
                <c:pt idx="66">
                  <c:v>11.4</c:v>
                </c:pt>
                <c:pt idx="67">
                  <c:v>16.079999999999998</c:v>
                </c:pt>
                <c:pt idx="68">
                  <c:v>22.68</c:v>
                </c:pt>
                <c:pt idx="69">
                  <c:v>26.76</c:v>
                </c:pt>
                <c:pt idx="70">
                  <c:v>21.96</c:v>
                </c:pt>
                <c:pt idx="71">
                  <c:v>14.88</c:v>
                </c:pt>
                <c:pt idx="72">
                  <c:v>10.56</c:v>
                </c:pt>
                <c:pt idx="73">
                  <c:v>13.2</c:v>
                </c:pt>
                <c:pt idx="74">
                  <c:v>20.399999999999999</c:v>
                </c:pt>
                <c:pt idx="75">
                  <c:v>10.44</c:v>
                </c:pt>
                <c:pt idx="76">
                  <c:v>8.2799999999999994</c:v>
                </c:pt>
                <c:pt idx="77">
                  <c:v>17.04</c:v>
                </c:pt>
                <c:pt idx="78">
                  <c:v>6.36</c:v>
                </c:pt>
                <c:pt idx="79">
                  <c:v>13.2</c:v>
                </c:pt>
                <c:pt idx="80">
                  <c:v>14.16</c:v>
                </c:pt>
                <c:pt idx="81">
                  <c:v>14.76</c:v>
                </c:pt>
                <c:pt idx="82">
                  <c:v>13.56</c:v>
                </c:pt>
                <c:pt idx="83">
                  <c:v>16.32</c:v>
                </c:pt>
                <c:pt idx="84">
                  <c:v>26.04</c:v>
                </c:pt>
                <c:pt idx="85">
                  <c:v>18.239999999999998</c:v>
                </c:pt>
                <c:pt idx="86">
                  <c:v>14.4</c:v>
                </c:pt>
                <c:pt idx="87">
                  <c:v>19.2</c:v>
                </c:pt>
                <c:pt idx="88">
                  <c:v>15.48</c:v>
                </c:pt>
                <c:pt idx="89">
                  <c:v>20.04</c:v>
                </c:pt>
                <c:pt idx="90">
                  <c:v>13.44</c:v>
                </c:pt>
                <c:pt idx="91">
                  <c:v>8.76</c:v>
                </c:pt>
                <c:pt idx="92">
                  <c:v>23.28</c:v>
                </c:pt>
                <c:pt idx="93">
                  <c:v>26.64</c:v>
                </c:pt>
                <c:pt idx="94">
                  <c:v>13.8</c:v>
                </c:pt>
                <c:pt idx="95">
                  <c:v>20.28</c:v>
                </c:pt>
                <c:pt idx="96">
                  <c:v>14.04</c:v>
                </c:pt>
                <c:pt idx="97">
                  <c:v>18.600000000000001</c:v>
                </c:pt>
                <c:pt idx="98">
                  <c:v>30.48</c:v>
                </c:pt>
                <c:pt idx="99">
                  <c:v>20.64</c:v>
                </c:pt>
                <c:pt idx="100">
                  <c:v>14.04</c:v>
                </c:pt>
                <c:pt idx="101">
                  <c:v>28.56</c:v>
                </c:pt>
                <c:pt idx="102">
                  <c:v>17.760000000000002</c:v>
                </c:pt>
                <c:pt idx="103">
                  <c:v>17.64</c:v>
                </c:pt>
                <c:pt idx="104">
                  <c:v>24.84</c:v>
                </c:pt>
                <c:pt idx="105">
                  <c:v>23.04</c:v>
                </c:pt>
                <c:pt idx="106">
                  <c:v>8.64</c:v>
                </c:pt>
                <c:pt idx="107">
                  <c:v>10.44</c:v>
                </c:pt>
                <c:pt idx="108">
                  <c:v>6.36</c:v>
                </c:pt>
                <c:pt idx="109">
                  <c:v>23.76</c:v>
                </c:pt>
                <c:pt idx="110">
                  <c:v>16.079999999999998</c:v>
                </c:pt>
                <c:pt idx="111">
                  <c:v>26.16</c:v>
                </c:pt>
                <c:pt idx="112">
                  <c:v>16.920000000000002</c:v>
                </c:pt>
                <c:pt idx="113">
                  <c:v>19.079999999999998</c:v>
                </c:pt>
                <c:pt idx="114">
                  <c:v>17.52</c:v>
                </c:pt>
                <c:pt idx="115">
                  <c:v>15.12</c:v>
                </c:pt>
                <c:pt idx="116">
                  <c:v>14.64</c:v>
                </c:pt>
                <c:pt idx="117">
                  <c:v>11.28</c:v>
                </c:pt>
                <c:pt idx="118">
                  <c:v>19.079999999999998</c:v>
                </c:pt>
                <c:pt idx="119">
                  <c:v>7.92</c:v>
                </c:pt>
                <c:pt idx="120">
                  <c:v>18.600000000000001</c:v>
                </c:pt>
                <c:pt idx="121">
                  <c:v>8.4</c:v>
                </c:pt>
                <c:pt idx="122">
                  <c:v>13.92</c:v>
                </c:pt>
                <c:pt idx="123">
                  <c:v>18.239999999999998</c:v>
                </c:pt>
                <c:pt idx="124">
                  <c:v>23.64</c:v>
                </c:pt>
                <c:pt idx="125">
                  <c:v>12.72</c:v>
                </c:pt>
                <c:pt idx="126">
                  <c:v>7.92</c:v>
                </c:pt>
                <c:pt idx="127">
                  <c:v>10.56</c:v>
                </c:pt>
                <c:pt idx="128">
                  <c:v>29.64</c:v>
                </c:pt>
                <c:pt idx="129">
                  <c:v>11.64</c:v>
                </c:pt>
                <c:pt idx="130">
                  <c:v>1.92</c:v>
                </c:pt>
                <c:pt idx="131">
                  <c:v>15.24</c:v>
                </c:pt>
                <c:pt idx="132">
                  <c:v>6.84</c:v>
                </c:pt>
                <c:pt idx="133">
                  <c:v>23.52</c:v>
                </c:pt>
                <c:pt idx="134">
                  <c:v>12.96</c:v>
                </c:pt>
                <c:pt idx="135">
                  <c:v>13.92</c:v>
                </c:pt>
                <c:pt idx="136">
                  <c:v>11.4</c:v>
                </c:pt>
                <c:pt idx="137">
                  <c:v>24.96</c:v>
                </c:pt>
                <c:pt idx="138">
                  <c:v>11.52</c:v>
                </c:pt>
                <c:pt idx="139">
                  <c:v>24.84</c:v>
                </c:pt>
                <c:pt idx="140">
                  <c:v>13.08</c:v>
                </c:pt>
                <c:pt idx="141">
                  <c:v>23.04</c:v>
                </c:pt>
                <c:pt idx="142">
                  <c:v>24.12</c:v>
                </c:pt>
                <c:pt idx="143">
                  <c:v>12.48</c:v>
                </c:pt>
                <c:pt idx="144">
                  <c:v>13.68</c:v>
                </c:pt>
                <c:pt idx="145">
                  <c:v>12.36</c:v>
                </c:pt>
                <c:pt idx="146">
                  <c:v>15.84</c:v>
                </c:pt>
                <c:pt idx="147">
                  <c:v>30.48</c:v>
                </c:pt>
                <c:pt idx="148">
                  <c:v>13.08</c:v>
                </c:pt>
                <c:pt idx="149">
                  <c:v>12.12</c:v>
                </c:pt>
                <c:pt idx="150">
                  <c:v>19.32</c:v>
                </c:pt>
                <c:pt idx="151">
                  <c:v>13.92</c:v>
                </c:pt>
                <c:pt idx="152">
                  <c:v>19.920000000000002</c:v>
                </c:pt>
                <c:pt idx="153">
                  <c:v>22.8</c:v>
                </c:pt>
                <c:pt idx="154">
                  <c:v>18.72</c:v>
                </c:pt>
                <c:pt idx="155">
                  <c:v>3.84</c:v>
                </c:pt>
                <c:pt idx="156">
                  <c:v>18.36</c:v>
                </c:pt>
                <c:pt idx="157">
                  <c:v>12.12</c:v>
                </c:pt>
                <c:pt idx="158">
                  <c:v>8.76</c:v>
                </c:pt>
                <c:pt idx="159">
                  <c:v>15.48</c:v>
                </c:pt>
                <c:pt idx="160">
                  <c:v>17.28</c:v>
                </c:pt>
                <c:pt idx="161">
                  <c:v>15.96</c:v>
                </c:pt>
                <c:pt idx="162">
                  <c:v>17.88</c:v>
                </c:pt>
                <c:pt idx="163">
                  <c:v>21.6</c:v>
                </c:pt>
                <c:pt idx="164">
                  <c:v>14.28</c:v>
                </c:pt>
                <c:pt idx="165">
                  <c:v>14.28</c:v>
                </c:pt>
                <c:pt idx="166">
                  <c:v>9.6</c:v>
                </c:pt>
                <c:pt idx="167">
                  <c:v>14.64</c:v>
                </c:pt>
                <c:pt idx="168">
                  <c:v>20.52</c:v>
                </c:pt>
                <c:pt idx="169">
                  <c:v>18</c:v>
                </c:pt>
                <c:pt idx="170">
                  <c:v>10.08</c:v>
                </c:pt>
                <c:pt idx="171">
                  <c:v>17.399999999999999</c:v>
                </c:pt>
                <c:pt idx="172">
                  <c:v>9.1199999999999992</c:v>
                </c:pt>
                <c:pt idx="173">
                  <c:v>14.04</c:v>
                </c:pt>
                <c:pt idx="174">
                  <c:v>13.8</c:v>
                </c:pt>
                <c:pt idx="175">
                  <c:v>32.4</c:v>
                </c:pt>
                <c:pt idx="176">
                  <c:v>24.24</c:v>
                </c:pt>
                <c:pt idx="177">
                  <c:v>14.04</c:v>
                </c:pt>
                <c:pt idx="178">
                  <c:v>14.16</c:v>
                </c:pt>
                <c:pt idx="179">
                  <c:v>15.12</c:v>
                </c:pt>
                <c:pt idx="180">
                  <c:v>12.6</c:v>
                </c:pt>
                <c:pt idx="181">
                  <c:v>14.64</c:v>
                </c:pt>
                <c:pt idx="182">
                  <c:v>10.44</c:v>
                </c:pt>
                <c:pt idx="183">
                  <c:v>31.44</c:v>
                </c:pt>
                <c:pt idx="184">
                  <c:v>21.12</c:v>
                </c:pt>
                <c:pt idx="185">
                  <c:v>27.12</c:v>
                </c:pt>
                <c:pt idx="186">
                  <c:v>12.36</c:v>
                </c:pt>
                <c:pt idx="187">
                  <c:v>20.76</c:v>
                </c:pt>
                <c:pt idx="188">
                  <c:v>19.079999999999998</c:v>
                </c:pt>
                <c:pt idx="189">
                  <c:v>8.0399999999999991</c:v>
                </c:pt>
                <c:pt idx="190">
                  <c:v>12.96</c:v>
                </c:pt>
                <c:pt idx="191">
                  <c:v>11.88</c:v>
                </c:pt>
                <c:pt idx="192">
                  <c:v>7.08</c:v>
                </c:pt>
                <c:pt idx="193">
                  <c:v>23.52</c:v>
                </c:pt>
                <c:pt idx="194">
                  <c:v>20.76</c:v>
                </c:pt>
                <c:pt idx="195">
                  <c:v>9.1199999999999992</c:v>
                </c:pt>
                <c:pt idx="196">
                  <c:v>11.64</c:v>
                </c:pt>
                <c:pt idx="197">
                  <c:v>15.36</c:v>
                </c:pt>
                <c:pt idx="198">
                  <c:v>30.6</c:v>
                </c:pt>
                <c:pt idx="199">
                  <c:v>16.079999999999998</c:v>
                </c:pt>
              </c:numCache>
            </c:numRef>
          </c:xVal>
          <c:yVal>
            <c:numRef>
              <c:f>Data!$E$2:$E$201</c:f>
              <c:numCache>
                <c:formatCode>General</c:formatCode>
                <c:ptCount val="200"/>
                <c:pt idx="0">
                  <c:v>83.04</c:v>
                </c:pt>
                <c:pt idx="1">
                  <c:v>54.12</c:v>
                </c:pt>
                <c:pt idx="2">
                  <c:v>83.16</c:v>
                </c:pt>
                <c:pt idx="3">
                  <c:v>70.2</c:v>
                </c:pt>
                <c:pt idx="4">
                  <c:v>70.08</c:v>
                </c:pt>
                <c:pt idx="5">
                  <c:v>90</c:v>
                </c:pt>
                <c:pt idx="6">
                  <c:v>28.2</c:v>
                </c:pt>
                <c:pt idx="7">
                  <c:v>13.92</c:v>
                </c:pt>
                <c:pt idx="8">
                  <c:v>1.2</c:v>
                </c:pt>
                <c:pt idx="9">
                  <c:v>25.44</c:v>
                </c:pt>
                <c:pt idx="10">
                  <c:v>29.04</c:v>
                </c:pt>
                <c:pt idx="11">
                  <c:v>4.8</c:v>
                </c:pt>
                <c:pt idx="12">
                  <c:v>79.08</c:v>
                </c:pt>
                <c:pt idx="13">
                  <c:v>8.64</c:v>
                </c:pt>
                <c:pt idx="14">
                  <c:v>55.2</c:v>
                </c:pt>
                <c:pt idx="15">
                  <c:v>63.48</c:v>
                </c:pt>
                <c:pt idx="16">
                  <c:v>136.80000000000001</c:v>
                </c:pt>
                <c:pt idx="17">
                  <c:v>66.959999999999994</c:v>
                </c:pt>
                <c:pt idx="18">
                  <c:v>21.96</c:v>
                </c:pt>
                <c:pt idx="19">
                  <c:v>22.92</c:v>
                </c:pt>
                <c:pt idx="20">
                  <c:v>64.08</c:v>
                </c:pt>
                <c:pt idx="21">
                  <c:v>28.2</c:v>
                </c:pt>
                <c:pt idx="22">
                  <c:v>59.52</c:v>
                </c:pt>
                <c:pt idx="23">
                  <c:v>31.44</c:v>
                </c:pt>
                <c:pt idx="24">
                  <c:v>21.96</c:v>
                </c:pt>
                <c:pt idx="25">
                  <c:v>23.4</c:v>
                </c:pt>
                <c:pt idx="26">
                  <c:v>15.12</c:v>
                </c:pt>
                <c:pt idx="27">
                  <c:v>27.48</c:v>
                </c:pt>
                <c:pt idx="28">
                  <c:v>27.48</c:v>
                </c:pt>
                <c:pt idx="29">
                  <c:v>48.96</c:v>
                </c:pt>
                <c:pt idx="30">
                  <c:v>51.84</c:v>
                </c:pt>
                <c:pt idx="31">
                  <c:v>46.32</c:v>
                </c:pt>
                <c:pt idx="32">
                  <c:v>36</c:v>
                </c:pt>
                <c:pt idx="33">
                  <c:v>0.36</c:v>
                </c:pt>
                <c:pt idx="34">
                  <c:v>8.8800000000000008</c:v>
                </c:pt>
                <c:pt idx="35">
                  <c:v>10.199999999999999</c:v>
                </c:pt>
                <c:pt idx="36">
                  <c:v>6</c:v>
                </c:pt>
                <c:pt idx="37">
                  <c:v>54.84</c:v>
                </c:pt>
                <c:pt idx="38">
                  <c:v>42.12</c:v>
                </c:pt>
                <c:pt idx="39">
                  <c:v>38.4</c:v>
                </c:pt>
                <c:pt idx="40">
                  <c:v>37.92</c:v>
                </c:pt>
                <c:pt idx="41">
                  <c:v>46.44</c:v>
                </c:pt>
                <c:pt idx="42">
                  <c:v>2.16</c:v>
                </c:pt>
                <c:pt idx="43">
                  <c:v>31.68</c:v>
                </c:pt>
                <c:pt idx="44">
                  <c:v>51.96</c:v>
                </c:pt>
                <c:pt idx="45">
                  <c:v>37.799999999999997</c:v>
                </c:pt>
                <c:pt idx="46">
                  <c:v>42.84</c:v>
                </c:pt>
                <c:pt idx="47">
                  <c:v>22.2</c:v>
                </c:pt>
                <c:pt idx="48">
                  <c:v>59.88</c:v>
                </c:pt>
                <c:pt idx="49">
                  <c:v>44.16</c:v>
                </c:pt>
                <c:pt idx="50">
                  <c:v>41.52</c:v>
                </c:pt>
                <c:pt idx="51">
                  <c:v>4.32</c:v>
                </c:pt>
                <c:pt idx="52">
                  <c:v>47.52</c:v>
                </c:pt>
                <c:pt idx="53">
                  <c:v>70.44</c:v>
                </c:pt>
                <c:pt idx="54">
                  <c:v>19.079999999999998</c:v>
                </c:pt>
                <c:pt idx="55">
                  <c:v>72</c:v>
                </c:pt>
                <c:pt idx="56">
                  <c:v>49.68</c:v>
                </c:pt>
                <c:pt idx="57">
                  <c:v>19.920000000000002</c:v>
                </c:pt>
                <c:pt idx="58">
                  <c:v>45.24</c:v>
                </c:pt>
                <c:pt idx="59">
                  <c:v>11.16</c:v>
                </c:pt>
                <c:pt idx="60">
                  <c:v>25.68</c:v>
                </c:pt>
                <c:pt idx="61">
                  <c:v>65.64</c:v>
                </c:pt>
                <c:pt idx="62">
                  <c:v>32.76</c:v>
                </c:pt>
                <c:pt idx="63">
                  <c:v>10.08</c:v>
                </c:pt>
                <c:pt idx="64">
                  <c:v>34.68</c:v>
                </c:pt>
                <c:pt idx="65">
                  <c:v>1.08</c:v>
                </c:pt>
                <c:pt idx="66">
                  <c:v>2.64</c:v>
                </c:pt>
                <c:pt idx="67">
                  <c:v>12.24</c:v>
                </c:pt>
                <c:pt idx="68">
                  <c:v>13.2</c:v>
                </c:pt>
                <c:pt idx="69">
                  <c:v>32.64</c:v>
                </c:pt>
                <c:pt idx="70">
                  <c:v>46.44</c:v>
                </c:pt>
                <c:pt idx="71">
                  <c:v>38.04</c:v>
                </c:pt>
                <c:pt idx="72">
                  <c:v>23.16</c:v>
                </c:pt>
                <c:pt idx="73">
                  <c:v>37.56</c:v>
                </c:pt>
                <c:pt idx="74">
                  <c:v>15.72</c:v>
                </c:pt>
                <c:pt idx="75">
                  <c:v>107.28</c:v>
                </c:pt>
                <c:pt idx="76">
                  <c:v>24.84</c:v>
                </c:pt>
                <c:pt idx="77">
                  <c:v>17.04</c:v>
                </c:pt>
                <c:pt idx="78">
                  <c:v>11.28</c:v>
                </c:pt>
                <c:pt idx="79">
                  <c:v>27.72</c:v>
                </c:pt>
                <c:pt idx="80">
                  <c:v>26.76</c:v>
                </c:pt>
                <c:pt idx="81">
                  <c:v>44.28</c:v>
                </c:pt>
                <c:pt idx="82">
                  <c:v>39</c:v>
                </c:pt>
                <c:pt idx="83">
                  <c:v>42.72</c:v>
                </c:pt>
                <c:pt idx="84">
                  <c:v>40.56</c:v>
                </c:pt>
                <c:pt idx="85">
                  <c:v>78.84</c:v>
                </c:pt>
                <c:pt idx="86">
                  <c:v>19.2</c:v>
                </c:pt>
                <c:pt idx="87">
                  <c:v>75.84</c:v>
                </c:pt>
                <c:pt idx="88">
                  <c:v>88.08</c:v>
                </c:pt>
                <c:pt idx="89">
                  <c:v>61.68</c:v>
                </c:pt>
                <c:pt idx="90">
                  <c:v>11.16</c:v>
                </c:pt>
                <c:pt idx="91">
                  <c:v>39.6</c:v>
                </c:pt>
                <c:pt idx="92">
                  <c:v>70.8</c:v>
                </c:pt>
                <c:pt idx="93">
                  <c:v>86.76</c:v>
                </c:pt>
                <c:pt idx="94">
                  <c:v>13.08</c:v>
                </c:pt>
                <c:pt idx="95">
                  <c:v>63.48</c:v>
                </c:pt>
                <c:pt idx="96">
                  <c:v>7.08</c:v>
                </c:pt>
                <c:pt idx="97">
                  <c:v>26.4</c:v>
                </c:pt>
                <c:pt idx="98">
                  <c:v>61.44</c:v>
                </c:pt>
                <c:pt idx="99">
                  <c:v>55.08</c:v>
                </c:pt>
                <c:pt idx="100">
                  <c:v>59.76</c:v>
                </c:pt>
                <c:pt idx="101">
                  <c:v>121.08</c:v>
                </c:pt>
                <c:pt idx="102">
                  <c:v>25.68</c:v>
                </c:pt>
                <c:pt idx="103">
                  <c:v>21.48</c:v>
                </c:pt>
                <c:pt idx="104">
                  <c:v>6.36</c:v>
                </c:pt>
                <c:pt idx="105">
                  <c:v>70.8</c:v>
                </c:pt>
                <c:pt idx="106">
                  <c:v>35.64</c:v>
                </c:pt>
                <c:pt idx="107">
                  <c:v>27.84</c:v>
                </c:pt>
                <c:pt idx="108">
                  <c:v>30.72</c:v>
                </c:pt>
                <c:pt idx="109">
                  <c:v>6.6</c:v>
                </c:pt>
                <c:pt idx="110">
                  <c:v>67.8</c:v>
                </c:pt>
                <c:pt idx="111">
                  <c:v>27.84</c:v>
                </c:pt>
                <c:pt idx="112">
                  <c:v>2.88</c:v>
                </c:pt>
                <c:pt idx="113">
                  <c:v>12.84</c:v>
                </c:pt>
                <c:pt idx="114">
                  <c:v>41.4</c:v>
                </c:pt>
                <c:pt idx="115">
                  <c:v>63.24</c:v>
                </c:pt>
                <c:pt idx="116">
                  <c:v>30.72</c:v>
                </c:pt>
                <c:pt idx="117">
                  <c:v>17.760000000000002</c:v>
                </c:pt>
                <c:pt idx="118">
                  <c:v>95.04</c:v>
                </c:pt>
                <c:pt idx="119">
                  <c:v>26.76</c:v>
                </c:pt>
                <c:pt idx="120">
                  <c:v>55.44</c:v>
                </c:pt>
                <c:pt idx="121">
                  <c:v>60.48</c:v>
                </c:pt>
                <c:pt idx="122">
                  <c:v>18.72</c:v>
                </c:pt>
                <c:pt idx="123">
                  <c:v>14.88</c:v>
                </c:pt>
                <c:pt idx="124">
                  <c:v>89.04</c:v>
                </c:pt>
                <c:pt idx="125">
                  <c:v>31.08</c:v>
                </c:pt>
                <c:pt idx="126">
                  <c:v>60.72</c:v>
                </c:pt>
                <c:pt idx="127">
                  <c:v>11.04</c:v>
                </c:pt>
                <c:pt idx="128">
                  <c:v>3.84</c:v>
                </c:pt>
                <c:pt idx="129">
                  <c:v>51.72</c:v>
                </c:pt>
                <c:pt idx="130">
                  <c:v>10.44</c:v>
                </c:pt>
                <c:pt idx="131">
                  <c:v>51.6</c:v>
                </c:pt>
                <c:pt idx="132">
                  <c:v>2.52</c:v>
                </c:pt>
                <c:pt idx="133">
                  <c:v>54.12</c:v>
                </c:pt>
                <c:pt idx="134">
                  <c:v>78.72</c:v>
                </c:pt>
                <c:pt idx="135">
                  <c:v>10.199999999999999</c:v>
                </c:pt>
                <c:pt idx="136">
                  <c:v>11.16</c:v>
                </c:pt>
                <c:pt idx="137">
                  <c:v>71.64</c:v>
                </c:pt>
                <c:pt idx="138">
                  <c:v>24.6</c:v>
                </c:pt>
                <c:pt idx="139">
                  <c:v>2.04</c:v>
                </c:pt>
                <c:pt idx="140">
                  <c:v>15.48</c:v>
                </c:pt>
                <c:pt idx="141">
                  <c:v>90.72</c:v>
                </c:pt>
                <c:pt idx="142">
                  <c:v>45.48</c:v>
                </c:pt>
                <c:pt idx="143">
                  <c:v>41.28</c:v>
                </c:pt>
                <c:pt idx="144">
                  <c:v>46.68</c:v>
                </c:pt>
                <c:pt idx="145">
                  <c:v>10.8</c:v>
                </c:pt>
                <c:pt idx="146">
                  <c:v>10.44</c:v>
                </c:pt>
                <c:pt idx="147">
                  <c:v>53.16</c:v>
                </c:pt>
                <c:pt idx="148">
                  <c:v>14.28</c:v>
                </c:pt>
                <c:pt idx="149">
                  <c:v>24.72</c:v>
                </c:pt>
                <c:pt idx="150">
                  <c:v>44.4</c:v>
                </c:pt>
                <c:pt idx="151">
                  <c:v>58.44</c:v>
                </c:pt>
                <c:pt idx="152">
                  <c:v>17.04</c:v>
                </c:pt>
                <c:pt idx="153">
                  <c:v>45.24</c:v>
                </c:pt>
                <c:pt idx="154">
                  <c:v>11.4</c:v>
                </c:pt>
                <c:pt idx="155">
                  <c:v>6.84</c:v>
                </c:pt>
                <c:pt idx="156">
                  <c:v>60.6</c:v>
                </c:pt>
                <c:pt idx="157">
                  <c:v>29.16</c:v>
                </c:pt>
                <c:pt idx="158">
                  <c:v>54.24</c:v>
                </c:pt>
                <c:pt idx="159">
                  <c:v>41.52</c:v>
                </c:pt>
                <c:pt idx="160">
                  <c:v>36.840000000000003</c:v>
                </c:pt>
                <c:pt idx="161">
                  <c:v>59.16</c:v>
                </c:pt>
                <c:pt idx="162">
                  <c:v>30.72</c:v>
                </c:pt>
                <c:pt idx="163">
                  <c:v>8.8800000000000008</c:v>
                </c:pt>
                <c:pt idx="164">
                  <c:v>6.48</c:v>
                </c:pt>
                <c:pt idx="165">
                  <c:v>101.76</c:v>
                </c:pt>
                <c:pt idx="166">
                  <c:v>25.92</c:v>
                </c:pt>
                <c:pt idx="167">
                  <c:v>23.28</c:v>
                </c:pt>
                <c:pt idx="168">
                  <c:v>69.12</c:v>
                </c:pt>
                <c:pt idx="169">
                  <c:v>7.68</c:v>
                </c:pt>
                <c:pt idx="170">
                  <c:v>22.08</c:v>
                </c:pt>
                <c:pt idx="171">
                  <c:v>56.88</c:v>
                </c:pt>
                <c:pt idx="172">
                  <c:v>20.399999999999999</c:v>
                </c:pt>
                <c:pt idx="173">
                  <c:v>15.36</c:v>
                </c:pt>
                <c:pt idx="174">
                  <c:v>15.72</c:v>
                </c:pt>
                <c:pt idx="175">
                  <c:v>50.16</c:v>
                </c:pt>
                <c:pt idx="176">
                  <c:v>24.36</c:v>
                </c:pt>
                <c:pt idx="177">
                  <c:v>42.24</c:v>
                </c:pt>
                <c:pt idx="178">
                  <c:v>28.44</c:v>
                </c:pt>
                <c:pt idx="179">
                  <c:v>21.12</c:v>
                </c:pt>
                <c:pt idx="180">
                  <c:v>9.9600000000000009</c:v>
                </c:pt>
                <c:pt idx="181">
                  <c:v>32.880000000000003</c:v>
                </c:pt>
                <c:pt idx="182">
                  <c:v>35.64</c:v>
                </c:pt>
                <c:pt idx="183">
                  <c:v>86.16</c:v>
                </c:pt>
                <c:pt idx="184">
                  <c:v>36</c:v>
                </c:pt>
                <c:pt idx="185">
                  <c:v>23.52</c:v>
                </c:pt>
                <c:pt idx="186">
                  <c:v>31.92</c:v>
                </c:pt>
                <c:pt idx="187">
                  <c:v>21.84</c:v>
                </c:pt>
                <c:pt idx="188">
                  <c:v>4.4400000000000004</c:v>
                </c:pt>
                <c:pt idx="189">
                  <c:v>28.08</c:v>
                </c:pt>
                <c:pt idx="190">
                  <c:v>6.96</c:v>
                </c:pt>
                <c:pt idx="191">
                  <c:v>7.2</c:v>
                </c:pt>
                <c:pt idx="192">
                  <c:v>37.92</c:v>
                </c:pt>
                <c:pt idx="193">
                  <c:v>4.32</c:v>
                </c:pt>
                <c:pt idx="194">
                  <c:v>7.2</c:v>
                </c:pt>
                <c:pt idx="195">
                  <c:v>16.559999999999999</c:v>
                </c:pt>
                <c:pt idx="196">
                  <c:v>9.7200000000000006</c:v>
                </c:pt>
                <c:pt idx="197">
                  <c:v>7.68</c:v>
                </c:pt>
                <c:pt idx="198">
                  <c:v>79.44</c:v>
                </c:pt>
                <c:pt idx="199">
                  <c:v>10.44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8-414F-B85B-8B37CB5E0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463439"/>
        <c:axId val="1696464399"/>
      </c:scatterChart>
      <c:valAx>
        <c:axId val="169646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64399"/>
        <c:crosses val="autoZero"/>
        <c:crossBetween val="midCat"/>
      </c:valAx>
      <c:valAx>
        <c:axId val="169646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46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Regression!$G$4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Regression!$B$5:$B$204</c:f>
              <c:numCache>
                <c:formatCode>General</c:formatCode>
                <c:ptCount val="200"/>
                <c:pt idx="0">
                  <c:v>26.52</c:v>
                </c:pt>
                <c:pt idx="1">
                  <c:v>12.48</c:v>
                </c:pt>
                <c:pt idx="2">
                  <c:v>11.16</c:v>
                </c:pt>
                <c:pt idx="3">
                  <c:v>22.2</c:v>
                </c:pt>
                <c:pt idx="4">
                  <c:v>15.48</c:v>
                </c:pt>
                <c:pt idx="5">
                  <c:v>8.64</c:v>
                </c:pt>
                <c:pt idx="6">
                  <c:v>14.16</c:v>
                </c:pt>
                <c:pt idx="7">
                  <c:v>15.84</c:v>
                </c:pt>
                <c:pt idx="8">
                  <c:v>5.76</c:v>
                </c:pt>
                <c:pt idx="9">
                  <c:v>12.72</c:v>
                </c:pt>
                <c:pt idx="10">
                  <c:v>10.32</c:v>
                </c:pt>
                <c:pt idx="11">
                  <c:v>20.88</c:v>
                </c:pt>
                <c:pt idx="12">
                  <c:v>11.04</c:v>
                </c:pt>
                <c:pt idx="13">
                  <c:v>11.64</c:v>
                </c:pt>
                <c:pt idx="14">
                  <c:v>22.8</c:v>
                </c:pt>
                <c:pt idx="15">
                  <c:v>26.88</c:v>
                </c:pt>
                <c:pt idx="16">
                  <c:v>15</c:v>
                </c:pt>
                <c:pt idx="17">
                  <c:v>29.28</c:v>
                </c:pt>
                <c:pt idx="18">
                  <c:v>13.56</c:v>
                </c:pt>
                <c:pt idx="19">
                  <c:v>17.52</c:v>
                </c:pt>
                <c:pt idx="20">
                  <c:v>21.6</c:v>
                </c:pt>
                <c:pt idx="21">
                  <c:v>15</c:v>
                </c:pt>
                <c:pt idx="22">
                  <c:v>6.72</c:v>
                </c:pt>
                <c:pt idx="23">
                  <c:v>18.600000000000001</c:v>
                </c:pt>
                <c:pt idx="24">
                  <c:v>11.64</c:v>
                </c:pt>
                <c:pt idx="25">
                  <c:v>14.4</c:v>
                </c:pt>
                <c:pt idx="26">
                  <c:v>18</c:v>
                </c:pt>
                <c:pt idx="27">
                  <c:v>19.079999999999998</c:v>
                </c:pt>
                <c:pt idx="28">
                  <c:v>22.68</c:v>
                </c:pt>
                <c:pt idx="29">
                  <c:v>12.6</c:v>
                </c:pt>
                <c:pt idx="30">
                  <c:v>25.68</c:v>
                </c:pt>
                <c:pt idx="31">
                  <c:v>14.28</c:v>
                </c:pt>
                <c:pt idx="32">
                  <c:v>11.52</c:v>
                </c:pt>
                <c:pt idx="33">
                  <c:v>20.88</c:v>
                </c:pt>
                <c:pt idx="34">
                  <c:v>11.4</c:v>
                </c:pt>
                <c:pt idx="35">
                  <c:v>15.36</c:v>
                </c:pt>
                <c:pt idx="36">
                  <c:v>30.48</c:v>
                </c:pt>
                <c:pt idx="37">
                  <c:v>17.64</c:v>
                </c:pt>
                <c:pt idx="38">
                  <c:v>12.12</c:v>
                </c:pt>
                <c:pt idx="39">
                  <c:v>25.8</c:v>
                </c:pt>
                <c:pt idx="40">
                  <c:v>19.920000000000002</c:v>
                </c:pt>
                <c:pt idx="41">
                  <c:v>20.52</c:v>
                </c:pt>
                <c:pt idx="42">
                  <c:v>24.84</c:v>
                </c:pt>
                <c:pt idx="43">
                  <c:v>15.48</c:v>
                </c:pt>
                <c:pt idx="44">
                  <c:v>10.199999999999999</c:v>
                </c:pt>
                <c:pt idx="45">
                  <c:v>17.88</c:v>
                </c:pt>
                <c:pt idx="46">
                  <c:v>12.72</c:v>
                </c:pt>
                <c:pt idx="47">
                  <c:v>27.84</c:v>
                </c:pt>
                <c:pt idx="48">
                  <c:v>17.760000000000002</c:v>
                </c:pt>
                <c:pt idx="49">
                  <c:v>11.64</c:v>
                </c:pt>
                <c:pt idx="50">
                  <c:v>13.68</c:v>
                </c:pt>
                <c:pt idx="51">
                  <c:v>12.84</c:v>
                </c:pt>
                <c:pt idx="52">
                  <c:v>27.12</c:v>
                </c:pt>
                <c:pt idx="53">
                  <c:v>25.44</c:v>
                </c:pt>
                <c:pt idx="54">
                  <c:v>24.24</c:v>
                </c:pt>
                <c:pt idx="55">
                  <c:v>28.44</c:v>
                </c:pt>
                <c:pt idx="56">
                  <c:v>6.6</c:v>
                </c:pt>
                <c:pt idx="57">
                  <c:v>15.84</c:v>
                </c:pt>
                <c:pt idx="58">
                  <c:v>28.56</c:v>
                </c:pt>
                <c:pt idx="59">
                  <c:v>22.08</c:v>
                </c:pt>
                <c:pt idx="60">
                  <c:v>9.7200000000000006</c:v>
                </c:pt>
                <c:pt idx="61">
                  <c:v>29.04</c:v>
                </c:pt>
                <c:pt idx="62">
                  <c:v>18.84</c:v>
                </c:pt>
                <c:pt idx="63">
                  <c:v>16.8</c:v>
                </c:pt>
                <c:pt idx="64">
                  <c:v>21.6</c:v>
                </c:pt>
                <c:pt idx="65">
                  <c:v>11.16</c:v>
                </c:pt>
                <c:pt idx="66">
                  <c:v>11.4</c:v>
                </c:pt>
                <c:pt idx="67">
                  <c:v>16.079999999999998</c:v>
                </c:pt>
                <c:pt idx="68">
                  <c:v>22.68</c:v>
                </c:pt>
                <c:pt idx="69">
                  <c:v>26.76</c:v>
                </c:pt>
                <c:pt idx="70">
                  <c:v>21.96</c:v>
                </c:pt>
                <c:pt idx="71">
                  <c:v>14.88</c:v>
                </c:pt>
                <c:pt idx="72">
                  <c:v>10.56</c:v>
                </c:pt>
                <c:pt idx="73">
                  <c:v>13.2</c:v>
                </c:pt>
                <c:pt idx="74">
                  <c:v>20.399999999999999</c:v>
                </c:pt>
                <c:pt idx="75">
                  <c:v>10.44</c:v>
                </c:pt>
                <c:pt idx="76">
                  <c:v>8.2799999999999994</c:v>
                </c:pt>
                <c:pt idx="77">
                  <c:v>17.04</c:v>
                </c:pt>
                <c:pt idx="78">
                  <c:v>6.36</c:v>
                </c:pt>
                <c:pt idx="79">
                  <c:v>13.2</c:v>
                </c:pt>
                <c:pt idx="80">
                  <c:v>14.16</c:v>
                </c:pt>
                <c:pt idx="81">
                  <c:v>14.76</c:v>
                </c:pt>
                <c:pt idx="82">
                  <c:v>13.56</c:v>
                </c:pt>
                <c:pt idx="83">
                  <c:v>16.32</c:v>
                </c:pt>
                <c:pt idx="84">
                  <c:v>26.04</c:v>
                </c:pt>
                <c:pt idx="85">
                  <c:v>18.239999999999998</c:v>
                </c:pt>
                <c:pt idx="86">
                  <c:v>14.4</c:v>
                </c:pt>
                <c:pt idx="87">
                  <c:v>19.2</c:v>
                </c:pt>
                <c:pt idx="88">
                  <c:v>15.48</c:v>
                </c:pt>
                <c:pt idx="89">
                  <c:v>20.04</c:v>
                </c:pt>
                <c:pt idx="90">
                  <c:v>13.44</c:v>
                </c:pt>
                <c:pt idx="91">
                  <c:v>8.76</c:v>
                </c:pt>
                <c:pt idx="92">
                  <c:v>23.28</c:v>
                </c:pt>
                <c:pt idx="93">
                  <c:v>26.64</c:v>
                </c:pt>
                <c:pt idx="94">
                  <c:v>13.8</c:v>
                </c:pt>
                <c:pt idx="95">
                  <c:v>20.28</c:v>
                </c:pt>
                <c:pt idx="96">
                  <c:v>14.04</c:v>
                </c:pt>
                <c:pt idx="97">
                  <c:v>18.600000000000001</c:v>
                </c:pt>
                <c:pt idx="98">
                  <c:v>30.48</c:v>
                </c:pt>
                <c:pt idx="99">
                  <c:v>20.64</c:v>
                </c:pt>
                <c:pt idx="100">
                  <c:v>14.04</c:v>
                </c:pt>
                <c:pt idx="101">
                  <c:v>28.56</c:v>
                </c:pt>
                <c:pt idx="102">
                  <c:v>17.760000000000002</c:v>
                </c:pt>
                <c:pt idx="103">
                  <c:v>17.64</c:v>
                </c:pt>
                <c:pt idx="104">
                  <c:v>24.84</c:v>
                </c:pt>
                <c:pt idx="105">
                  <c:v>23.04</c:v>
                </c:pt>
                <c:pt idx="106">
                  <c:v>8.64</c:v>
                </c:pt>
                <c:pt idx="107">
                  <c:v>10.44</c:v>
                </c:pt>
                <c:pt idx="108">
                  <c:v>6.36</c:v>
                </c:pt>
                <c:pt idx="109">
                  <c:v>23.76</c:v>
                </c:pt>
                <c:pt idx="110">
                  <c:v>16.079999999999998</c:v>
                </c:pt>
                <c:pt idx="111">
                  <c:v>26.16</c:v>
                </c:pt>
                <c:pt idx="112">
                  <c:v>16.920000000000002</c:v>
                </c:pt>
                <c:pt idx="113">
                  <c:v>19.079999999999998</c:v>
                </c:pt>
                <c:pt idx="114">
                  <c:v>17.52</c:v>
                </c:pt>
                <c:pt idx="115">
                  <c:v>15.12</c:v>
                </c:pt>
                <c:pt idx="116">
                  <c:v>14.64</c:v>
                </c:pt>
                <c:pt idx="117">
                  <c:v>11.28</c:v>
                </c:pt>
                <c:pt idx="118">
                  <c:v>19.079999999999998</c:v>
                </c:pt>
                <c:pt idx="119">
                  <c:v>7.92</c:v>
                </c:pt>
                <c:pt idx="120">
                  <c:v>18.600000000000001</c:v>
                </c:pt>
                <c:pt idx="121">
                  <c:v>8.4</c:v>
                </c:pt>
                <c:pt idx="122">
                  <c:v>13.92</c:v>
                </c:pt>
                <c:pt idx="123">
                  <c:v>18.239999999999998</c:v>
                </c:pt>
                <c:pt idx="124">
                  <c:v>23.64</c:v>
                </c:pt>
                <c:pt idx="125">
                  <c:v>12.72</c:v>
                </c:pt>
                <c:pt idx="126">
                  <c:v>7.92</c:v>
                </c:pt>
                <c:pt idx="127">
                  <c:v>10.56</c:v>
                </c:pt>
                <c:pt idx="128">
                  <c:v>29.64</c:v>
                </c:pt>
                <c:pt idx="129">
                  <c:v>11.64</c:v>
                </c:pt>
                <c:pt idx="130">
                  <c:v>1.92</c:v>
                </c:pt>
                <c:pt idx="131">
                  <c:v>15.24</c:v>
                </c:pt>
                <c:pt idx="132">
                  <c:v>6.84</c:v>
                </c:pt>
                <c:pt idx="133">
                  <c:v>23.52</c:v>
                </c:pt>
                <c:pt idx="134">
                  <c:v>12.96</c:v>
                </c:pt>
                <c:pt idx="135">
                  <c:v>13.92</c:v>
                </c:pt>
                <c:pt idx="136">
                  <c:v>11.4</c:v>
                </c:pt>
                <c:pt idx="137">
                  <c:v>24.96</c:v>
                </c:pt>
                <c:pt idx="138">
                  <c:v>11.52</c:v>
                </c:pt>
                <c:pt idx="139">
                  <c:v>24.84</c:v>
                </c:pt>
                <c:pt idx="140">
                  <c:v>13.08</c:v>
                </c:pt>
                <c:pt idx="141">
                  <c:v>23.04</c:v>
                </c:pt>
                <c:pt idx="142">
                  <c:v>24.12</c:v>
                </c:pt>
                <c:pt idx="143">
                  <c:v>12.48</c:v>
                </c:pt>
                <c:pt idx="144">
                  <c:v>13.68</c:v>
                </c:pt>
                <c:pt idx="145">
                  <c:v>12.36</c:v>
                </c:pt>
                <c:pt idx="146">
                  <c:v>15.84</c:v>
                </c:pt>
                <c:pt idx="147">
                  <c:v>30.48</c:v>
                </c:pt>
                <c:pt idx="148">
                  <c:v>13.08</c:v>
                </c:pt>
                <c:pt idx="149">
                  <c:v>12.12</c:v>
                </c:pt>
                <c:pt idx="150">
                  <c:v>19.32</c:v>
                </c:pt>
                <c:pt idx="151">
                  <c:v>13.92</c:v>
                </c:pt>
                <c:pt idx="152">
                  <c:v>19.920000000000002</c:v>
                </c:pt>
                <c:pt idx="153">
                  <c:v>22.8</c:v>
                </c:pt>
                <c:pt idx="154">
                  <c:v>18.72</c:v>
                </c:pt>
                <c:pt idx="155">
                  <c:v>3.84</c:v>
                </c:pt>
                <c:pt idx="156">
                  <c:v>18.36</c:v>
                </c:pt>
                <c:pt idx="157">
                  <c:v>12.12</c:v>
                </c:pt>
                <c:pt idx="158">
                  <c:v>8.76</c:v>
                </c:pt>
                <c:pt idx="159">
                  <c:v>15.48</c:v>
                </c:pt>
                <c:pt idx="160">
                  <c:v>17.28</c:v>
                </c:pt>
                <c:pt idx="161">
                  <c:v>15.96</c:v>
                </c:pt>
                <c:pt idx="162">
                  <c:v>17.88</c:v>
                </c:pt>
                <c:pt idx="163">
                  <c:v>21.6</c:v>
                </c:pt>
                <c:pt idx="164">
                  <c:v>14.28</c:v>
                </c:pt>
                <c:pt idx="165">
                  <c:v>14.28</c:v>
                </c:pt>
                <c:pt idx="166">
                  <c:v>9.6</c:v>
                </c:pt>
                <c:pt idx="167">
                  <c:v>14.64</c:v>
                </c:pt>
                <c:pt idx="168">
                  <c:v>20.52</c:v>
                </c:pt>
                <c:pt idx="169">
                  <c:v>18</c:v>
                </c:pt>
                <c:pt idx="170">
                  <c:v>10.08</c:v>
                </c:pt>
                <c:pt idx="171">
                  <c:v>17.399999999999999</c:v>
                </c:pt>
                <c:pt idx="172">
                  <c:v>9.1199999999999992</c:v>
                </c:pt>
                <c:pt idx="173">
                  <c:v>14.04</c:v>
                </c:pt>
                <c:pt idx="174">
                  <c:v>13.8</c:v>
                </c:pt>
                <c:pt idx="175">
                  <c:v>32.4</c:v>
                </c:pt>
                <c:pt idx="176">
                  <c:v>24.24</c:v>
                </c:pt>
                <c:pt idx="177">
                  <c:v>14.04</c:v>
                </c:pt>
                <c:pt idx="178">
                  <c:v>14.16</c:v>
                </c:pt>
                <c:pt idx="179">
                  <c:v>15.12</c:v>
                </c:pt>
                <c:pt idx="180">
                  <c:v>12.6</c:v>
                </c:pt>
                <c:pt idx="181">
                  <c:v>14.64</c:v>
                </c:pt>
                <c:pt idx="182">
                  <c:v>10.44</c:v>
                </c:pt>
                <c:pt idx="183">
                  <c:v>31.44</c:v>
                </c:pt>
                <c:pt idx="184">
                  <c:v>21.12</c:v>
                </c:pt>
                <c:pt idx="185">
                  <c:v>27.12</c:v>
                </c:pt>
                <c:pt idx="186">
                  <c:v>12.36</c:v>
                </c:pt>
                <c:pt idx="187">
                  <c:v>20.76</c:v>
                </c:pt>
                <c:pt idx="188">
                  <c:v>19.079999999999998</c:v>
                </c:pt>
                <c:pt idx="189">
                  <c:v>8.0399999999999991</c:v>
                </c:pt>
                <c:pt idx="190">
                  <c:v>12.96</c:v>
                </c:pt>
                <c:pt idx="191">
                  <c:v>11.88</c:v>
                </c:pt>
                <c:pt idx="192">
                  <c:v>7.08</c:v>
                </c:pt>
                <c:pt idx="193">
                  <c:v>23.52</c:v>
                </c:pt>
                <c:pt idx="194">
                  <c:v>20.76</c:v>
                </c:pt>
                <c:pt idx="195">
                  <c:v>9.1199999999999992</c:v>
                </c:pt>
                <c:pt idx="196">
                  <c:v>11.64</c:v>
                </c:pt>
                <c:pt idx="197">
                  <c:v>15.36</c:v>
                </c:pt>
                <c:pt idx="198">
                  <c:v>30.6</c:v>
                </c:pt>
                <c:pt idx="199">
                  <c:v>16.079999999999998</c:v>
                </c:pt>
              </c:numCache>
            </c:numRef>
          </c:xVal>
          <c:yVal>
            <c:numRef>
              <c:f>Regression!$G$5:$G$204</c:f>
              <c:numCache>
                <c:formatCode>0.00</c:formatCode>
                <c:ptCount val="200"/>
                <c:pt idx="0">
                  <c:v>-26.52</c:v>
                </c:pt>
                <c:pt idx="1">
                  <c:v>-12.48</c:v>
                </c:pt>
                <c:pt idx="2">
                  <c:v>-11.16</c:v>
                </c:pt>
                <c:pt idx="3">
                  <c:v>-22.2</c:v>
                </c:pt>
                <c:pt idx="4">
                  <c:v>-15.48</c:v>
                </c:pt>
                <c:pt idx="5">
                  <c:v>-8.64</c:v>
                </c:pt>
                <c:pt idx="6">
                  <c:v>-14.16</c:v>
                </c:pt>
                <c:pt idx="7">
                  <c:v>-15.84</c:v>
                </c:pt>
                <c:pt idx="8">
                  <c:v>-5.76</c:v>
                </c:pt>
                <c:pt idx="9">
                  <c:v>-12.72</c:v>
                </c:pt>
                <c:pt idx="10">
                  <c:v>-10.32</c:v>
                </c:pt>
                <c:pt idx="11">
                  <c:v>-20.88</c:v>
                </c:pt>
                <c:pt idx="12">
                  <c:v>-11.04</c:v>
                </c:pt>
                <c:pt idx="13">
                  <c:v>-11.64</c:v>
                </c:pt>
                <c:pt idx="14">
                  <c:v>-22.8</c:v>
                </c:pt>
                <c:pt idx="15">
                  <c:v>-26.88</c:v>
                </c:pt>
                <c:pt idx="16">
                  <c:v>-15</c:v>
                </c:pt>
                <c:pt idx="17">
                  <c:v>-29.28</c:v>
                </c:pt>
                <c:pt idx="18">
                  <c:v>-13.56</c:v>
                </c:pt>
                <c:pt idx="19">
                  <c:v>-17.52</c:v>
                </c:pt>
                <c:pt idx="20">
                  <c:v>-21.6</c:v>
                </c:pt>
                <c:pt idx="21">
                  <c:v>-15</c:v>
                </c:pt>
                <c:pt idx="22">
                  <c:v>-6.72</c:v>
                </c:pt>
                <c:pt idx="23">
                  <c:v>-18.600000000000001</c:v>
                </c:pt>
                <c:pt idx="24">
                  <c:v>-11.64</c:v>
                </c:pt>
                <c:pt idx="25">
                  <c:v>-14.4</c:v>
                </c:pt>
                <c:pt idx="26">
                  <c:v>-18</c:v>
                </c:pt>
                <c:pt idx="27">
                  <c:v>-19.079999999999998</c:v>
                </c:pt>
                <c:pt idx="28">
                  <c:v>-22.68</c:v>
                </c:pt>
                <c:pt idx="29">
                  <c:v>-12.6</c:v>
                </c:pt>
                <c:pt idx="30">
                  <c:v>-25.68</c:v>
                </c:pt>
                <c:pt idx="31">
                  <c:v>-14.28</c:v>
                </c:pt>
                <c:pt idx="32">
                  <c:v>-11.52</c:v>
                </c:pt>
                <c:pt idx="33">
                  <c:v>-20.88</c:v>
                </c:pt>
                <c:pt idx="34">
                  <c:v>-11.4</c:v>
                </c:pt>
                <c:pt idx="35">
                  <c:v>-15.36</c:v>
                </c:pt>
                <c:pt idx="36">
                  <c:v>-30.48</c:v>
                </c:pt>
                <c:pt idx="37">
                  <c:v>-17.64</c:v>
                </c:pt>
                <c:pt idx="38">
                  <c:v>-12.12</c:v>
                </c:pt>
                <c:pt idx="39">
                  <c:v>-25.8</c:v>
                </c:pt>
                <c:pt idx="40">
                  <c:v>-19.920000000000002</c:v>
                </c:pt>
                <c:pt idx="41">
                  <c:v>-20.52</c:v>
                </c:pt>
                <c:pt idx="42">
                  <c:v>-24.84</c:v>
                </c:pt>
                <c:pt idx="43">
                  <c:v>-15.48</c:v>
                </c:pt>
                <c:pt idx="44">
                  <c:v>-10.199999999999999</c:v>
                </c:pt>
                <c:pt idx="45">
                  <c:v>-17.88</c:v>
                </c:pt>
                <c:pt idx="46">
                  <c:v>-12.72</c:v>
                </c:pt>
                <c:pt idx="47">
                  <c:v>-27.84</c:v>
                </c:pt>
                <c:pt idx="48">
                  <c:v>-17.760000000000002</c:v>
                </c:pt>
                <c:pt idx="49">
                  <c:v>-11.64</c:v>
                </c:pt>
                <c:pt idx="50">
                  <c:v>-13.68</c:v>
                </c:pt>
                <c:pt idx="51">
                  <c:v>-12.84</c:v>
                </c:pt>
                <c:pt idx="52">
                  <c:v>-27.12</c:v>
                </c:pt>
                <c:pt idx="53">
                  <c:v>-25.44</c:v>
                </c:pt>
                <c:pt idx="54">
                  <c:v>-24.24</c:v>
                </c:pt>
                <c:pt idx="55">
                  <c:v>-28.44</c:v>
                </c:pt>
                <c:pt idx="56">
                  <c:v>-6.6</c:v>
                </c:pt>
                <c:pt idx="57">
                  <c:v>-15.84</c:v>
                </c:pt>
                <c:pt idx="58">
                  <c:v>-28.56</c:v>
                </c:pt>
                <c:pt idx="59">
                  <c:v>-22.08</c:v>
                </c:pt>
                <c:pt idx="60">
                  <c:v>-9.7200000000000006</c:v>
                </c:pt>
                <c:pt idx="61">
                  <c:v>-29.04</c:v>
                </c:pt>
                <c:pt idx="62">
                  <c:v>-18.84</c:v>
                </c:pt>
                <c:pt idx="63">
                  <c:v>-16.8</c:v>
                </c:pt>
                <c:pt idx="64">
                  <c:v>-21.6</c:v>
                </c:pt>
                <c:pt idx="65">
                  <c:v>-11.16</c:v>
                </c:pt>
                <c:pt idx="66">
                  <c:v>-11.4</c:v>
                </c:pt>
                <c:pt idx="67">
                  <c:v>-16.079999999999998</c:v>
                </c:pt>
                <c:pt idx="68">
                  <c:v>-22.68</c:v>
                </c:pt>
                <c:pt idx="69">
                  <c:v>-26.76</c:v>
                </c:pt>
                <c:pt idx="70">
                  <c:v>-21.96</c:v>
                </c:pt>
                <c:pt idx="71">
                  <c:v>-14.88</c:v>
                </c:pt>
                <c:pt idx="72">
                  <c:v>-10.56</c:v>
                </c:pt>
                <c:pt idx="73">
                  <c:v>-13.2</c:v>
                </c:pt>
                <c:pt idx="74">
                  <c:v>-20.399999999999999</c:v>
                </c:pt>
                <c:pt idx="75">
                  <c:v>-10.44</c:v>
                </c:pt>
                <c:pt idx="76">
                  <c:v>-8.2799999999999994</c:v>
                </c:pt>
                <c:pt idx="77">
                  <c:v>-17.04</c:v>
                </c:pt>
                <c:pt idx="78">
                  <c:v>-6.36</c:v>
                </c:pt>
                <c:pt idx="79">
                  <c:v>-13.2</c:v>
                </c:pt>
                <c:pt idx="80">
                  <c:v>-14.16</c:v>
                </c:pt>
                <c:pt idx="81">
                  <c:v>-14.76</c:v>
                </c:pt>
                <c:pt idx="82">
                  <c:v>-13.56</c:v>
                </c:pt>
                <c:pt idx="83">
                  <c:v>-16.32</c:v>
                </c:pt>
                <c:pt idx="84">
                  <c:v>-26.04</c:v>
                </c:pt>
                <c:pt idx="85">
                  <c:v>-18.239999999999998</c:v>
                </c:pt>
                <c:pt idx="86">
                  <c:v>-14.4</c:v>
                </c:pt>
                <c:pt idx="87">
                  <c:v>-19.2</c:v>
                </c:pt>
                <c:pt idx="88">
                  <c:v>-15.48</c:v>
                </c:pt>
                <c:pt idx="89">
                  <c:v>-20.04</c:v>
                </c:pt>
                <c:pt idx="90">
                  <c:v>-13.44</c:v>
                </c:pt>
                <c:pt idx="91">
                  <c:v>-8.76</c:v>
                </c:pt>
                <c:pt idx="92">
                  <c:v>-23.28</c:v>
                </c:pt>
                <c:pt idx="93">
                  <c:v>-26.64</c:v>
                </c:pt>
                <c:pt idx="94">
                  <c:v>-13.8</c:v>
                </c:pt>
                <c:pt idx="95">
                  <c:v>-20.28</c:v>
                </c:pt>
                <c:pt idx="96">
                  <c:v>-14.04</c:v>
                </c:pt>
                <c:pt idx="97">
                  <c:v>-18.600000000000001</c:v>
                </c:pt>
                <c:pt idx="98">
                  <c:v>-30.48</c:v>
                </c:pt>
                <c:pt idx="99">
                  <c:v>-20.64</c:v>
                </c:pt>
                <c:pt idx="100">
                  <c:v>-14.04</c:v>
                </c:pt>
                <c:pt idx="101">
                  <c:v>-28.56</c:v>
                </c:pt>
                <c:pt idx="102">
                  <c:v>-17.760000000000002</c:v>
                </c:pt>
                <c:pt idx="103">
                  <c:v>-17.64</c:v>
                </c:pt>
                <c:pt idx="104">
                  <c:v>-24.84</c:v>
                </c:pt>
                <c:pt idx="105">
                  <c:v>-23.04</c:v>
                </c:pt>
                <c:pt idx="106">
                  <c:v>-8.64</c:v>
                </c:pt>
                <c:pt idx="107">
                  <c:v>-10.44</c:v>
                </c:pt>
                <c:pt idx="108">
                  <c:v>-6.36</c:v>
                </c:pt>
                <c:pt idx="109">
                  <c:v>-23.76</c:v>
                </c:pt>
                <c:pt idx="110">
                  <c:v>-16.079999999999998</c:v>
                </c:pt>
                <c:pt idx="111">
                  <c:v>-26.16</c:v>
                </c:pt>
                <c:pt idx="112">
                  <c:v>-16.920000000000002</c:v>
                </c:pt>
                <c:pt idx="113">
                  <c:v>-19.079999999999998</c:v>
                </c:pt>
                <c:pt idx="114">
                  <c:v>-17.52</c:v>
                </c:pt>
                <c:pt idx="115">
                  <c:v>-15.12</c:v>
                </c:pt>
                <c:pt idx="116">
                  <c:v>-14.64</c:v>
                </c:pt>
                <c:pt idx="117">
                  <c:v>-11.28</c:v>
                </c:pt>
                <c:pt idx="118">
                  <c:v>-19.079999999999998</c:v>
                </c:pt>
                <c:pt idx="119">
                  <c:v>-7.92</c:v>
                </c:pt>
                <c:pt idx="120">
                  <c:v>-18.600000000000001</c:v>
                </c:pt>
                <c:pt idx="121">
                  <c:v>-8.4</c:v>
                </c:pt>
                <c:pt idx="122">
                  <c:v>-13.92</c:v>
                </c:pt>
                <c:pt idx="123">
                  <c:v>-18.239999999999998</c:v>
                </c:pt>
                <c:pt idx="124">
                  <c:v>-23.64</c:v>
                </c:pt>
                <c:pt idx="125">
                  <c:v>-12.72</c:v>
                </c:pt>
                <c:pt idx="126">
                  <c:v>-7.92</c:v>
                </c:pt>
                <c:pt idx="127">
                  <c:v>-10.56</c:v>
                </c:pt>
                <c:pt idx="128">
                  <c:v>-29.64</c:v>
                </c:pt>
                <c:pt idx="129">
                  <c:v>-11.64</c:v>
                </c:pt>
                <c:pt idx="130">
                  <c:v>-1.92</c:v>
                </c:pt>
                <c:pt idx="131">
                  <c:v>-15.24</c:v>
                </c:pt>
                <c:pt idx="132">
                  <c:v>-6.84</c:v>
                </c:pt>
                <c:pt idx="133">
                  <c:v>-23.52</c:v>
                </c:pt>
                <c:pt idx="134">
                  <c:v>-12.96</c:v>
                </c:pt>
                <c:pt idx="135">
                  <c:v>-13.92</c:v>
                </c:pt>
                <c:pt idx="136">
                  <c:v>-11.4</c:v>
                </c:pt>
                <c:pt idx="137">
                  <c:v>-24.96</c:v>
                </c:pt>
                <c:pt idx="138">
                  <c:v>-11.52</c:v>
                </c:pt>
                <c:pt idx="139">
                  <c:v>-24.84</c:v>
                </c:pt>
                <c:pt idx="140">
                  <c:v>-13.08</c:v>
                </c:pt>
                <c:pt idx="141">
                  <c:v>-23.04</c:v>
                </c:pt>
                <c:pt idx="142">
                  <c:v>-24.12</c:v>
                </c:pt>
                <c:pt idx="143">
                  <c:v>-12.48</c:v>
                </c:pt>
                <c:pt idx="144">
                  <c:v>-13.68</c:v>
                </c:pt>
                <c:pt idx="145">
                  <c:v>-12.36</c:v>
                </c:pt>
                <c:pt idx="146">
                  <c:v>-15.84</c:v>
                </c:pt>
                <c:pt idx="147">
                  <c:v>-30.48</c:v>
                </c:pt>
                <c:pt idx="148">
                  <c:v>-13.08</c:v>
                </c:pt>
                <c:pt idx="149">
                  <c:v>-12.12</c:v>
                </c:pt>
                <c:pt idx="150">
                  <c:v>-19.32</c:v>
                </c:pt>
                <c:pt idx="151">
                  <c:v>-13.92</c:v>
                </c:pt>
                <c:pt idx="152">
                  <c:v>-19.920000000000002</c:v>
                </c:pt>
                <c:pt idx="153">
                  <c:v>-22.8</c:v>
                </c:pt>
                <c:pt idx="154">
                  <c:v>-18.72</c:v>
                </c:pt>
                <c:pt idx="155">
                  <c:v>-3.84</c:v>
                </c:pt>
                <c:pt idx="156">
                  <c:v>-18.36</c:v>
                </c:pt>
                <c:pt idx="157">
                  <c:v>-12.12</c:v>
                </c:pt>
                <c:pt idx="158">
                  <c:v>-8.76</c:v>
                </c:pt>
                <c:pt idx="159">
                  <c:v>-15.48</c:v>
                </c:pt>
                <c:pt idx="160">
                  <c:v>-17.28</c:v>
                </c:pt>
                <c:pt idx="161">
                  <c:v>-15.96</c:v>
                </c:pt>
                <c:pt idx="162">
                  <c:v>-17.88</c:v>
                </c:pt>
                <c:pt idx="163">
                  <c:v>-21.6</c:v>
                </c:pt>
                <c:pt idx="164">
                  <c:v>-14.28</c:v>
                </c:pt>
                <c:pt idx="165">
                  <c:v>-14.28</c:v>
                </c:pt>
                <c:pt idx="166">
                  <c:v>-9.6</c:v>
                </c:pt>
                <c:pt idx="167">
                  <c:v>-14.64</c:v>
                </c:pt>
                <c:pt idx="168">
                  <c:v>-20.52</c:v>
                </c:pt>
                <c:pt idx="169">
                  <c:v>-18</c:v>
                </c:pt>
                <c:pt idx="170">
                  <c:v>-10.08</c:v>
                </c:pt>
                <c:pt idx="171">
                  <c:v>-17.399999999999999</c:v>
                </c:pt>
                <c:pt idx="172">
                  <c:v>-9.1199999999999992</c:v>
                </c:pt>
                <c:pt idx="173">
                  <c:v>-14.04</c:v>
                </c:pt>
                <c:pt idx="174">
                  <c:v>-13.8</c:v>
                </c:pt>
                <c:pt idx="175">
                  <c:v>-32.4</c:v>
                </c:pt>
                <c:pt idx="176">
                  <c:v>-24.24</c:v>
                </c:pt>
                <c:pt idx="177">
                  <c:v>-14.04</c:v>
                </c:pt>
                <c:pt idx="178">
                  <c:v>-14.16</c:v>
                </c:pt>
                <c:pt idx="179">
                  <c:v>-15.12</c:v>
                </c:pt>
                <c:pt idx="180">
                  <c:v>-12.6</c:v>
                </c:pt>
                <c:pt idx="181">
                  <c:v>-14.64</c:v>
                </c:pt>
                <c:pt idx="182">
                  <c:v>-10.44</c:v>
                </c:pt>
                <c:pt idx="183">
                  <c:v>-31.44</c:v>
                </c:pt>
                <c:pt idx="184">
                  <c:v>-21.12</c:v>
                </c:pt>
                <c:pt idx="185">
                  <c:v>-27.12</c:v>
                </c:pt>
                <c:pt idx="186">
                  <c:v>-12.36</c:v>
                </c:pt>
                <c:pt idx="187">
                  <c:v>-20.76</c:v>
                </c:pt>
                <c:pt idx="188">
                  <c:v>-19.079999999999998</c:v>
                </c:pt>
                <c:pt idx="189">
                  <c:v>-8.0399999999999991</c:v>
                </c:pt>
                <c:pt idx="190">
                  <c:v>-12.96</c:v>
                </c:pt>
                <c:pt idx="191">
                  <c:v>-11.88</c:v>
                </c:pt>
                <c:pt idx="192">
                  <c:v>-7.08</c:v>
                </c:pt>
                <c:pt idx="193">
                  <c:v>-23.52</c:v>
                </c:pt>
                <c:pt idx="194">
                  <c:v>-20.76</c:v>
                </c:pt>
                <c:pt idx="195">
                  <c:v>-9.1199999999999992</c:v>
                </c:pt>
                <c:pt idx="196">
                  <c:v>-11.64</c:v>
                </c:pt>
                <c:pt idx="197">
                  <c:v>-15.36</c:v>
                </c:pt>
                <c:pt idx="198">
                  <c:v>-30.6</c:v>
                </c:pt>
                <c:pt idx="199">
                  <c:v>-16.079999999999998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53-4412-AD7B-EED4C3FAE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938816"/>
        <c:axId val="1956935072"/>
      </c:scatterChart>
      <c:valAx>
        <c:axId val="195693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35072"/>
        <c:crosses val="autoZero"/>
        <c:crossBetween val="midCat"/>
      </c:valAx>
      <c:valAx>
        <c:axId val="1956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93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Regression_LSq!$G$5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Regression_LSq!$B$6:$B$205</c:f>
              <c:numCache>
                <c:formatCode>General</c:formatCode>
                <c:ptCount val="200"/>
                <c:pt idx="0">
                  <c:v>26.52</c:v>
                </c:pt>
                <c:pt idx="1">
                  <c:v>12.48</c:v>
                </c:pt>
                <c:pt idx="2">
                  <c:v>11.16</c:v>
                </c:pt>
                <c:pt idx="3">
                  <c:v>22.2</c:v>
                </c:pt>
                <c:pt idx="4">
                  <c:v>15.48</c:v>
                </c:pt>
                <c:pt idx="5">
                  <c:v>8.64</c:v>
                </c:pt>
                <c:pt idx="6">
                  <c:v>14.16</c:v>
                </c:pt>
                <c:pt idx="7">
                  <c:v>15.84</c:v>
                </c:pt>
                <c:pt idx="8">
                  <c:v>5.76</c:v>
                </c:pt>
                <c:pt idx="9">
                  <c:v>12.72</c:v>
                </c:pt>
                <c:pt idx="10">
                  <c:v>10.32</c:v>
                </c:pt>
                <c:pt idx="11">
                  <c:v>20.88</c:v>
                </c:pt>
                <c:pt idx="12">
                  <c:v>11.04</c:v>
                </c:pt>
                <c:pt idx="13">
                  <c:v>11.64</c:v>
                </c:pt>
                <c:pt idx="14">
                  <c:v>22.8</c:v>
                </c:pt>
                <c:pt idx="15">
                  <c:v>26.88</c:v>
                </c:pt>
                <c:pt idx="16">
                  <c:v>15</c:v>
                </c:pt>
                <c:pt idx="17">
                  <c:v>29.28</c:v>
                </c:pt>
                <c:pt idx="18">
                  <c:v>13.56</c:v>
                </c:pt>
                <c:pt idx="19">
                  <c:v>17.52</c:v>
                </c:pt>
                <c:pt idx="20">
                  <c:v>21.6</c:v>
                </c:pt>
                <c:pt idx="21">
                  <c:v>15</c:v>
                </c:pt>
                <c:pt idx="22">
                  <c:v>6.72</c:v>
                </c:pt>
                <c:pt idx="23">
                  <c:v>18.600000000000001</c:v>
                </c:pt>
                <c:pt idx="24">
                  <c:v>11.64</c:v>
                </c:pt>
                <c:pt idx="25">
                  <c:v>14.4</c:v>
                </c:pt>
                <c:pt idx="26">
                  <c:v>18</c:v>
                </c:pt>
                <c:pt idx="27">
                  <c:v>19.079999999999998</c:v>
                </c:pt>
                <c:pt idx="28">
                  <c:v>22.68</c:v>
                </c:pt>
                <c:pt idx="29">
                  <c:v>12.6</c:v>
                </c:pt>
                <c:pt idx="30">
                  <c:v>25.68</c:v>
                </c:pt>
                <c:pt idx="31">
                  <c:v>14.28</c:v>
                </c:pt>
                <c:pt idx="32">
                  <c:v>11.52</c:v>
                </c:pt>
                <c:pt idx="33">
                  <c:v>20.88</c:v>
                </c:pt>
                <c:pt idx="34">
                  <c:v>11.4</c:v>
                </c:pt>
                <c:pt idx="35">
                  <c:v>15.36</c:v>
                </c:pt>
                <c:pt idx="36">
                  <c:v>30.48</c:v>
                </c:pt>
                <c:pt idx="37">
                  <c:v>17.64</c:v>
                </c:pt>
                <c:pt idx="38">
                  <c:v>12.12</c:v>
                </c:pt>
                <c:pt idx="39">
                  <c:v>25.8</c:v>
                </c:pt>
                <c:pt idx="40">
                  <c:v>19.920000000000002</c:v>
                </c:pt>
                <c:pt idx="41">
                  <c:v>20.52</c:v>
                </c:pt>
                <c:pt idx="42">
                  <c:v>24.84</c:v>
                </c:pt>
                <c:pt idx="43">
                  <c:v>15.48</c:v>
                </c:pt>
                <c:pt idx="44">
                  <c:v>10.199999999999999</c:v>
                </c:pt>
                <c:pt idx="45">
                  <c:v>17.88</c:v>
                </c:pt>
                <c:pt idx="46">
                  <c:v>12.72</c:v>
                </c:pt>
                <c:pt idx="47">
                  <c:v>27.84</c:v>
                </c:pt>
                <c:pt idx="48">
                  <c:v>17.760000000000002</c:v>
                </c:pt>
                <c:pt idx="49">
                  <c:v>11.64</c:v>
                </c:pt>
                <c:pt idx="50">
                  <c:v>13.68</c:v>
                </c:pt>
                <c:pt idx="51">
                  <c:v>12.84</c:v>
                </c:pt>
                <c:pt idx="52">
                  <c:v>27.12</c:v>
                </c:pt>
                <c:pt idx="53">
                  <c:v>25.44</c:v>
                </c:pt>
                <c:pt idx="54">
                  <c:v>24.24</c:v>
                </c:pt>
                <c:pt idx="55">
                  <c:v>28.44</c:v>
                </c:pt>
                <c:pt idx="56">
                  <c:v>6.6</c:v>
                </c:pt>
                <c:pt idx="57">
                  <c:v>15.84</c:v>
                </c:pt>
                <c:pt idx="58">
                  <c:v>28.56</c:v>
                </c:pt>
                <c:pt idx="59">
                  <c:v>22.08</c:v>
                </c:pt>
                <c:pt idx="60">
                  <c:v>9.7200000000000006</c:v>
                </c:pt>
                <c:pt idx="61">
                  <c:v>29.04</c:v>
                </c:pt>
                <c:pt idx="62">
                  <c:v>18.84</c:v>
                </c:pt>
                <c:pt idx="63">
                  <c:v>16.8</c:v>
                </c:pt>
                <c:pt idx="64">
                  <c:v>21.6</c:v>
                </c:pt>
                <c:pt idx="65">
                  <c:v>11.16</c:v>
                </c:pt>
                <c:pt idx="66">
                  <c:v>11.4</c:v>
                </c:pt>
                <c:pt idx="67">
                  <c:v>16.079999999999998</c:v>
                </c:pt>
                <c:pt idx="68">
                  <c:v>22.68</c:v>
                </c:pt>
                <c:pt idx="69">
                  <c:v>26.76</c:v>
                </c:pt>
                <c:pt idx="70">
                  <c:v>21.96</c:v>
                </c:pt>
                <c:pt idx="71">
                  <c:v>14.88</c:v>
                </c:pt>
                <c:pt idx="72">
                  <c:v>10.56</c:v>
                </c:pt>
                <c:pt idx="73">
                  <c:v>13.2</c:v>
                </c:pt>
                <c:pt idx="74">
                  <c:v>20.399999999999999</c:v>
                </c:pt>
                <c:pt idx="75">
                  <c:v>10.44</c:v>
                </c:pt>
                <c:pt idx="76">
                  <c:v>8.2799999999999994</c:v>
                </c:pt>
                <c:pt idx="77">
                  <c:v>17.04</c:v>
                </c:pt>
                <c:pt idx="78">
                  <c:v>6.36</c:v>
                </c:pt>
                <c:pt idx="79">
                  <c:v>13.2</c:v>
                </c:pt>
                <c:pt idx="80">
                  <c:v>14.16</c:v>
                </c:pt>
                <c:pt idx="81">
                  <c:v>14.76</c:v>
                </c:pt>
                <c:pt idx="82">
                  <c:v>13.56</c:v>
                </c:pt>
                <c:pt idx="83">
                  <c:v>16.32</c:v>
                </c:pt>
                <c:pt idx="84">
                  <c:v>26.04</c:v>
                </c:pt>
                <c:pt idx="85">
                  <c:v>18.239999999999998</c:v>
                </c:pt>
                <c:pt idx="86">
                  <c:v>14.4</c:v>
                </c:pt>
                <c:pt idx="87">
                  <c:v>19.2</c:v>
                </c:pt>
                <c:pt idx="88">
                  <c:v>15.48</c:v>
                </c:pt>
                <c:pt idx="89">
                  <c:v>20.04</c:v>
                </c:pt>
                <c:pt idx="90">
                  <c:v>13.44</c:v>
                </c:pt>
                <c:pt idx="91">
                  <c:v>8.76</c:v>
                </c:pt>
                <c:pt idx="92">
                  <c:v>23.28</c:v>
                </c:pt>
                <c:pt idx="93">
                  <c:v>26.64</c:v>
                </c:pt>
                <c:pt idx="94">
                  <c:v>13.8</c:v>
                </c:pt>
                <c:pt idx="95">
                  <c:v>20.28</c:v>
                </c:pt>
                <c:pt idx="96">
                  <c:v>14.04</c:v>
                </c:pt>
                <c:pt idx="97">
                  <c:v>18.600000000000001</c:v>
                </c:pt>
                <c:pt idx="98">
                  <c:v>30.48</c:v>
                </c:pt>
                <c:pt idx="99">
                  <c:v>20.64</c:v>
                </c:pt>
                <c:pt idx="100">
                  <c:v>14.04</c:v>
                </c:pt>
                <c:pt idx="101">
                  <c:v>28.56</c:v>
                </c:pt>
                <c:pt idx="102">
                  <c:v>17.760000000000002</c:v>
                </c:pt>
                <c:pt idx="103">
                  <c:v>17.64</c:v>
                </c:pt>
                <c:pt idx="104">
                  <c:v>24.84</c:v>
                </c:pt>
                <c:pt idx="105">
                  <c:v>23.04</c:v>
                </c:pt>
                <c:pt idx="106">
                  <c:v>8.64</c:v>
                </c:pt>
                <c:pt idx="107">
                  <c:v>10.44</c:v>
                </c:pt>
                <c:pt idx="108">
                  <c:v>6.36</c:v>
                </c:pt>
                <c:pt idx="109">
                  <c:v>23.76</c:v>
                </c:pt>
                <c:pt idx="110">
                  <c:v>16.079999999999998</c:v>
                </c:pt>
                <c:pt idx="111">
                  <c:v>26.16</c:v>
                </c:pt>
                <c:pt idx="112">
                  <c:v>16.920000000000002</c:v>
                </c:pt>
                <c:pt idx="113">
                  <c:v>19.079999999999998</c:v>
                </c:pt>
                <c:pt idx="114">
                  <c:v>17.52</c:v>
                </c:pt>
                <c:pt idx="115">
                  <c:v>15.12</c:v>
                </c:pt>
                <c:pt idx="116">
                  <c:v>14.64</c:v>
                </c:pt>
                <c:pt idx="117">
                  <c:v>11.28</c:v>
                </c:pt>
                <c:pt idx="118">
                  <c:v>19.079999999999998</c:v>
                </c:pt>
                <c:pt idx="119">
                  <c:v>7.92</c:v>
                </c:pt>
                <c:pt idx="120">
                  <c:v>18.600000000000001</c:v>
                </c:pt>
                <c:pt idx="121">
                  <c:v>8.4</c:v>
                </c:pt>
                <c:pt idx="122">
                  <c:v>13.92</c:v>
                </c:pt>
                <c:pt idx="123">
                  <c:v>18.239999999999998</c:v>
                </c:pt>
                <c:pt idx="124">
                  <c:v>23.64</c:v>
                </c:pt>
                <c:pt idx="125">
                  <c:v>12.72</c:v>
                </c:pt>
                <c:pt idx="126">
                  <c:v>7.92</c:v>
                </c:pt>
                <c:pt idx="127">
                  <c:v>10.56</c:v>
                </c:pt>
                <c:pt idx="128">
                  <c:v>29.64</c:v>
                </c:pt>
                <c:pt idx="129">
                  <c:v>11.64</c:v>
                </c:pt>
                <c:pt idx="130">
                  <c:v>1.92</c:v>
                </c:pt>
                <c:pt idx="131">
                  <c:v>15.24</c:v>
                </c:pt>
                <c:pt idx="132">
                  <c:v>6.84</c:v>
                </c:pt>
                <c:pt idx="133">
                  <c:v>23.52</c:v>
                </c:pt>
                <c:pt idx="134">
                  <c:v>12.96</c:v>
                </c:pt>
                <c:pt idx="135">
                  <c:v>13.92</c:v>
                </c:pt>
                <c:pt idx="136">
                  <c:v>11.4</c:v>
                </c:pt>
                <c:pt idx="137">
                  <c:v>24.96</c:v>
                </c:pt>
                <c:pt idx="138">
                  <c:v>11.52</c:v>
                </c:pt>
                <c:pt idx="139">
                  <c:v>24.84</c:v>
                </c:pt>
                <c:pt idx="140">
                  <c:v>13.08</c:v>
                </c:pt>
                <c:pt idx="141">
                  <c:v>23.04</c:v>
                </c:pt>
                <c:pt idx="142">
                  <c:v>24.12</c:v>
                </c:pt>
                <c:pt idx="143">
                  <c:v>12.48</c:v>
                </c:pt>
                <c:pt idx="144">
                  <c:v>13.68</c:v>
                </c:pt>
                <c:pt idx="145">
                  <c:v>12.36</c:v>
                </c:pt>
                <c:pt idx="146">
                  <c:v>15.84</c:v>
                </c:pt>
                <c:pt idx="147">
                  <c:v>30.48</c:v>
                </c:pt>
                <c:pt idx="148">
                  <c:v>13.08</c:v>
                </c:pt>
                <c:pt idx="149">
                  <c:v>12.12</c:v>
                </c:pt>
                <c:pt idx="150">
                  <c:v>19.32</c:v>
                </c:pt>
                <c:pt idx="151">
                  <c:v>13.92</c:v>
                </c:pt>
                <c:pt idx="152">
                  <c:v>19.920000000000002</c:v>
                </c:pt>
                <c:pt idx="153">
                  <c:v>22.8</c:v>
                </c:pt>
                <c:pt idx="154">
                  <c:v>18.72</c:v>
                </c:pt>
                <c:pt idx="155">
                  <c:v>3.84</c:v>
                </c:pt>
                <c:pt idx="156">
                  <c:v>18.36</c:v>
                </c:pt>
                <c:pt idx="157">
                  <c:v>12.12</c:v>
                </c:pt>
                <c:pt idx="158">
                  <c:v>8.76</c:v>
                </c:pt>
                <c:pt idx="159">
                  <c:v>15.48</c:v>
                </c:pt>
                <c:pt idx="160">
                  <c:v>17.28</c:v>
                </c:pt>
                <c:pt idx="161">
                  <c:v>15.96</c:v>
                </c:pt>
                <c:pt idx="162">
                  <c:v>17.88</c:v>
                </c:pt>
                <c:pt idx="163">
                  <c:v>21.6</c:v>
                </c:pt>
                <c:pt idx="164">
                  <c:v>14.28</c:v>
                </c:pt>
                <c:pt idx="165">
                  <c:v>14.28</c:v>
                </c:pt>
                <c:pt idx="166">
                  <c:v>9.6</c:v>
                </c:pt>
                <c:pt idx="167">
                  <c:v>14.64</c:v>
                </c:pt>
                <c:pt idx="168">
                  <c:v>20.52</c:v>
                </c:pt>
                <c:pt idx="169">
                  <c:v>18</c:v>
                </c:pt>
                <c:pt idx="170">
                  <c:v>10.08</c:v>
                </c:pt>
                <c:pt idx="171">
                  <c:v>17.399999999999999</c:v>
                </c:pt>
                <c:pt idx="172">
                  <c:v>9.1199999999999992</c:v>
                </c:pt>
                <c:pt idx="173">
                  <c:v>14.04</c:v>
                </c:pt>
                <c:pt idx="174">
                  <c:v>13.8</c:v>
                </c:pt>
                <c:pt idx="175">
                  <c:v>32.4</c:v>
                </c:pt>
                <c:pt idx="176">
                  <c:v>24.24</c:v>
                </c:pt>
                <c:pt idx="177">
                  <c:v>14.04</c:v>
                </c:pt>
                <c:pt idx="178">
                  <c:v>14.16</c:v>
                </c:pt>
                <c:pt idx="179">
                  <c:v>15.12</c:v>
                </c:pt>
                <c:pt idx="180">
                  <c:v>12.6</c:v>
                </c:pt>
                <c:pt idx="181">
                  <c:v>14.64</c:v>
                </c:pt>
                <c:pt idx="182">
                  <c:v>10.44</c:v>
                </c:pt>
                <c:pt idx="183">
                  <c:v>31.44</c:v>
                </c:pt>
                <c:pt idx="184">
                  <c:v>21.12</c:v>
                </c:pt>
                <c:pt idx="185">
                  <c:v>27.12</c:v>
                </c:pt>
                <c:pt idx="186">
                  <c:v>12.36</c:v>
                </c:pt>
                <c:pt idx="187">
                  <c:v>20.76</c:v>
                </c:pt>
                <c:pt idx="188">
                  <c:v>19.079999999999998</c:v>
                </c:pt>
                <c:pt idx="189">
                  <c:v>8.0399999999999991</c:v>
                </c:pt>
                <c:pt idx="190">
                  <c:v>12.96</c:v>
                </c:pt>
                <c:pt idx="191">
                  <c:v>11.88</c:v>
                </c:pt>
                <c:pt idx="192">
                  <c:v>7.08</c:v>
                </c:pt>
                <c:pt idx="193">
                  <c:v>23.52</c:v>
                </c:pt>
                <c:pt idx="194">
                  <c:v>20.76</c:v>
                </c:pt>
                <c:pt idx="195">
                  <c:v>9.1199999999999992</c:v>
                </c:pt>
                <c:pt idx="196">
                  <c:v>11.64</c:v>
                </c:pt>
                <c:pt idx="197">
                  <c:v>15.36</c:v>
                </c:pt>
                <c:pt idx="198">
                  <c:v>30.6</c:v>
                </c:pt>
                <c:pt idx="199">
                  <c:v>16.079999999999998</c:v>
                </c:pt>
              </c:numCache>
            </c:numRef>
          </c:xVal>
          <c:yVal>
            <c:numRef>
              <c:f>Regression_LSq!$G$6:$G$205</c:f>
              <c:numCache>
                <c:formatCode>General</c:formatCode>
                <c:ptCount val="200"/>
                <c:pt idx="0">
                  <c:v>-16.090607293438218</c:v>
                </c:pt>
                <c:pt idx="1">
                  <c:v>-4.7538860587630207</c:v>
                </c:pt>
                <c:pt idx="2">
                  <c:v>-2.9406495961200019</c:v>
                </c:pt>
                <c:pt idx="3">
                  <c:v>-12.628291798780957</c:v>
                </c:pt>
                <c:pt idx="4">
                  <c:v>-8.5942919292915789</c:v>
                </c:pt>
                <c:pt idx="5">
                  <c:v>-0.18693197381170634</c:v>
                </c:pt>
                <c:pt idx="6">
                  <c:v>-7.0981321784815075</c:v>
                </c:pt>
                <c:pt idx="7">
                  <c:v>-9.3309283174595663</c:v>
                </c:pt>
                <c:pt idx="8">
                  <c:v>-2.7145221403007849</c:v>
                </c:pt>
                <c:pt idx="9">
                  <c:v>-6.7219518335423487</c:v>
                </c:pt>
                <c:pt idx="10">
                  <c:v>-5.876181320077924</c:v>
                </c:pt>
                <c:pt idx="11">
                  <c:v>-12.642448547567078</c:v>
                </c:pt>
                <c:pt idx="12">
                  <c:v>-3.8549052164781195</c:v>
                </c:pt>
                <c:pt idx="13">
                  <c:v>-6.7136578313587947</c:v>
                </c:pt>
                <c:pt idx="14">
                  <c:v>-13.441986051211583</c:v>
                </c:pt>
                <c:pt idx="15">
                  <c:v>-16.080227732122836</c:v>
                </c:pt>
                <c:pt idx="16">
                  <c:v>-6.6157391131274856</c:v>
                </c:pt>
                <c:pt idx="17">
                  <c:v>-18.053019718473937</c:v>
                </c:pt>
                <c:pt idx="18">
                  <c:v>-7.6279756957436513</c:v>
                </c:pt>
                <c:pt idx="19">
                  <c:v>-10.121781272915563</c:v>
                </c:pt>
                <c:pt idx="20">
                  <c:v>-12.502625668974428</c:v>
                </c:pt>
                <c:pt idx="21">
                  <c:v>-8.1915752875916983</c:v>
                </c:pt>
                <c:pt idx="22">
                  <c:v>-1.7813572611896937</c:v>
                </c:pt>
                <c:pt idx="23">
                  <c:v>-10.69732902383527</c:v>
                </c:pt>
                <c:pt idx="24">
                  <c:v>-6.6100145256206471</c:v>
                </c:pt>
                <c:pt idx="25">
                  <c:v>-7.4257094072310119</c:v>
                </c:pt>
                <c:pt idx="26">
                  <c:v>-10.171822361272479</c:v>
                </c:pt>
                <c:pt idx="27">
                  <c:v>-11.058233220702309</c:v>
                </c:pt>
                <c:pt idx="28">
                  <c:v>-13.476206576583003</c:v>
                </c:pt>
                <c:pt idx="29">
                  <c:v>-6.9096529998094969</c:v>
                </c:pt>
                <c:pt idx="30">
                  <c:v>-15.548496614065371</c:v>
                </c:pt>
                <c:pt idx="31">
                  <c:v>-7.863412677844086</c:v>
                </c:pt>
                <c:pt idx="32">
                  <c:v>-7.0197237817043998</c:v>
                </c:pt>
                <c:pt idx="33">
                  <c:v>-12.356039711692375</c:v>
                </c:pt>
                <c:pt idx="34">
                  <c:v>-7.1283080687635874</c:v>
                </c:pt>
                <c:pt idx="35">
                  <c:v>-8.0242739739376265</c:v>
                </c:pt>
                <c:pt idx="36">
                  <c:v>-19.475326604039886</c:v>
                </c:pt>
                <c:pt idx="37">
                  <c:v>-8.4506605714710581</c:v>
                </c:pt>
                <c:pt idx="38">
                  <c:v>-5.7828391973181086</c:v>
                </c:pt>
                <c:pt idx="39">
                  <c:v>-15.735028491934619</c:v>
                </c:pt>
                <c:pt idx="40">
                  <c:v>-11.788687006663562</c:v>
                </c:pt>
                <c:pt idx="41">
                  <c:v>-11.561078948557146</c:v>
                </c:pt>
                <c:pt idx="42">
                  <c:v>-15.120484733833456</c:v>
                </c:pt>
                <c:pt idx="43">
                  <c:v>-8.7453638695000961</c:v>
                </c:pt>
                <c:pt idx="44">
                  <c:v>-4.1496765232367263</c:v>
                </c:pt>
                <c:pt idx="45">
                  <c:v>-10.119805800394975</c:v>
                </c:pt>
                <c:pt idx="46">
                  <c:v>-7.4224015803722168</c:v>
                </c:pt>
                <c:pt idx="47">
                  <c:v>-17.336506001807567</c:v>
                </c:pt>
                <c:pt idx="48">
                  <c:v>-9.7782960907755054</c:v>
                </c:pt>
                <c:pt idx="49">
                  <c:v>-6.4747144652363291</c:v>
                </c:pt>
                <c:pt idx="50">
                  <c:v>-7.5142640586460487</c:v>
                </c:pt>
                <c:pt idx="51">
                  <c:v>-7.7002399866962872</c:v>
                </c:pt>
                <c:pt idx="52">
                  <c:v>-16.747206389774664</c:v>
                </c:pt>
                <c:pt idx="53">
                  <c:v>-14.924726910925077</c:v>
                </c:pt>
                <c:pt idx="54">
                  <c:v>-14.726142054336542</c:v>
                </c:pt>
                <c:pt idx="55">
                  <c:v>-17.355492844666308</c:v>
                </c:pt>
                <c:pt idx="56">
                  <c:v>-0.57582864937466205</c:v>
                </c:pt>
                <c:pt idx="57">
                  <c:v>-9.0999468731914988</c:v>
                </c:pt>
                <c:pt idx="58">
                  <c:v>-17.479922242220251</c:v>
                </c:pt>
                <c:pt idx="59">
                  <c:v>-13.29374122091912</c:v>
                </c:pt>
                <c:pt idx="60">
                  <c:v>-5.8667869579406551</c:v>
                </c:pt>
                <c:pt idx="61">
                  <c:v>-17.793772463784173</c:v>
                </c:pt>
                <c:pt idx="62">
                  <c:v>-10.913355543271933</c:v>
                </c:pt>
                <c:pt idx="63">
                  <c:v>-9.5509790165602944</c:v>
                </c:pt>
                <c:pt idx="64">
                  <c:v>-12.424556192601948</c:v>
                </c:pt>
                <c:pt idx="65">
                  <c:v>-6.5219123483221395</c:v>
                </c:pt>
                <c:pt idx="66">
                  <c:v>-5.728660101475481</c:v>
                </c:pt>
                <c:pt idx="67">
                  <c:v>-9.8296886898734073</c:v>
                </c:pt>
                <c:pt idx="68">
                  <c:v>-13.701768630510426</c:v>
                </c:pt>
                <c:pt idx="69">
                  <c:v>-16.265799331265363</c:v>
                </c:pt>
                <c:pt idx="70">
                  <c:v>-12.970886211409521</c:v>
                </c:pt>
                <c:pt idx="71">
                  <c:v>-8.8831257662828946</c:v>
                </c:pt>
                <c:pt idx="72">
                  <c:v>-3.9520372996954691</c:v>
                </c:pt>
                <c:pt idx="73">
                  <c:v>-7.8021002220043414</c:v>
                </c:pt>
                <c:pt idx="74">
                  <c:v>-12.040607120495681</c:v>
                </c:pt>
                <c:pt idx="75">
                  <c:v>-2.2735020179038994</c:v>
                </c:pt>
                <c:pt idx="76">
                  <c:v>-4.8442180886278017</c:v>
                </c:pt>
                <c:pt idx="77">
                  <c:v>-9.5985756605602379</c:v>
                </c:pt>
                <c:pt idx="78">
                  <c:v>-0.45877526883008102</c:v>
                </c:pt>
                <c:pt idx="79">
                  <c:v>-7.8611457079348428</c:v>
                </c:pt>
                <c:pt idx="80">
                  <c:v>-7.4597313444550482</c:v>
                </c:pt>
                <c:pt idx="81">
                  <c:v>-7.9022720062638188</c:v>
                </c:pt>
                <c:pt idx="82">
                  <c:v>-7.4375685268162357</c:v>
                </c:pt>
                <c:pt idx="83">
                  <c:v>-7.8070046546782805</c:v>
                </c:pt>
                <c:pt idx="84">
                  <c:v>-15.626860569750235</c:v>
                </c:pt>
                <c:pt idx="85">
                  <c:v>-10.340726864165035</c:v>
                </c:pt>
                <c:pt idx="86">
                  <c:v>-7.674695598772356</c:v>
                </c:pt>
                <c:pt idx="87">
                  <c:v>-10.240142158386071</c:v>
                </c:pt>
                <c:pt idx="88">
                  <c:v>-8.2866785491592694</c:v>
                </c:pt>
                <c:pt idx="89">
                  <c:v>-10.463379250713572</c:v>
                </c:pt>
                <c:pt idx="90">
                  <c:v>-8.2454321598474785</c:v>
                </c:pt>
                <c:pt idx="91">
                  <c:v>-5.2114782525886447</c:v>
                </c:pt>
                <c:pt idx="92">
                  <c:v>-13.553741260081974</c:v>
                </c:pt>
                <c:pt idx="93">
                  <c:v>-16.019323304549097</c:v>
                </c:pt>
                <c:pt idx="94">
                  <c:v>-8.049193511055277</c:v>
                </c:pt>
                <c:pt idx="95">
                  <c:v>-11.575695480724843</c:v>
                </c:pt>
                <c:pt idx="96">
                  <c:v>-8.1151415321056515</c:v>
                </c:pt>
                <c:pt idx="97">
                  <c:v>-10.935523237504452</c:v>
                </c:pt>
                <c:pt idx="98">
                  <c:v>-18.900129754111052</c:v>
                </c:pt>
                <c:pt idx="99">
                  <c:v>-11.369807118788978</c:v>
                </c:pt>
                <c:pt idx="100">
                  <c:v>-7.2975036479869537</c:v>
                </c:pt>
                <c:pt idx="101">
                  <c:v>-17.061719973995711</c:v>
                </c:pt>
                <c:pt idx="102">
                  <c:v>-9.8511026443435252</c:v>
                </c:pt>
                <c:pt idx="103">
                  <c:v>-10.355080798436493</c:v>
                </c:pt>
                <c:pt idx="104">
                  <c:v>-15.208284171873959</c:v>
                </c:pt>
                <c:pt idx="105">
                  <c:v>-13.138973930002038</c:v>
                </c:pt>
                <c:pt idx="106">
                  <c:v>-4.2051187636335818</c:v>
                </c:pt>
                <c:pt idx="107">
                  <c:v>-6.2180198223875882</c:v>
                </c:pt>
                <c:pt idx="108">
                  <c:v>-3.2088524846350559</c:v>
                </c:pt>
                <c:pt idx="109">
                  <c:v>-14.634162702349977</c:v>
                </c:pt>
                <c:pt idx="110">
                  <c:v>-8.8338725153880695</c:v>
                </c:pt>
                <c:pt idx="111">
                  <c:v>-15.945931441211073</c:v>
                </c:pt>
                <c:pt idx="112">
                  <c:v>-10.127241070055055</c:v>
                </c:pt>
                <c:pt idx="113">
                  <c:v>-11.202625793620481</c:v>
                </c:pt>
                <c:pt idx="114">
                  <c:v>-8.6429111585580998</c:v>
                </c:pt>
                <c:pt idx="115">
                  <c:v>-7.328863614482243</c:v>
                </c:pt>
                <c:pt idx="116">
                  <c:v>-8.2772022571988817</c:v>
                </c:pt>
                <c:pt idx="117">
                  <c:v>-7.2799591005590454</c:v>
                </c:pt>
                <c:pt idx="118">
                  <c:v>-10.143230700466079</c:v>
                </c:pt>
                <c:pt idx="119">
                  <c:v>-3.1208049306720991</c:v>
                </c:pt>
                <c:pt idx="120">
                  <c:v>-10.756032087435599</c:v>
                </c:pt>
                <c:pt idx="121">
                  <c:v>-2.7845116334563507</c:v>
                </c:pt>
                <c:pt idx="122">
                  <c:v>-7.6461427512298297</c:v>
                </c:pt>
                <c:pt idx="123">
                  <c:v>-10.156643283304527</c:v>
                </c:pt>
                <c:pt idx="124">
                  <c:v>-13.735092583518218</c:v>
                </c:pt>
                <c:pt idx="125">
                  <c:v>-7.3501871191910597</c:v>
                </c:pt>
                <c:pt idx="126">
                  <c:v>-0.7097961200013998</c:v>
                </c:pt>
                <c:pt idx="127">
                  <c:v>-6.6359954951877036</c:v>
                </c:pt>
                <c:pt idx="128">
                  <c:v>-18.786309691210768</c:v>
                </c:pt>
                <c:pt idx="129">
                  <c:v>-6.4933344040464638</c:v>
                </c:pt>
                <c:pt idx="130">
                  <c:v>4.8949167146012877</c:v>
                </c:pt>
                <c:pt idx="131">
                  <c:v>-8.08908663020771</c:v>
                </c:pt>
                <c:pt idx="132">
                  <c:v>-1.2343261459823323</c:v>
                </c:pt>
                <c:pt idx="133">
                  <c:v>-13.884986408010237</c:v>
                </c:pt>
                <c:pt idx="134">
                  <c:v>-5.2347173796474928</c:v>
                </c:pt>
                <c:pt idx="135">
                  <c:v>-5.6754659519032824</c:v>
                </c:pt>
                <c:pt idx="136">
                  <c:v>-4.2859360738901042</c:v>
                </c:pt>
                <c:pt idx="137">
                  <c:v>-14.897310082239756</c:v>
                </c:pt>
                <c:pt idx="138">
                  <c:v>-5.3929335835096399</c:v>
                </c:pt>
                <c:pt idx="139">
                  <c:v>-15.022851820368736</c:v>
                </c:pt>
                <c:pt idx="140">
                  <c:v>-7.4912410609391955</c:v>
                </c:pt>
                <c:pt idx="141">
                  <c:v>-13.317857248517921</c:v>
                </c:pt>
                <c:pt idx="142">
                  <c:v>-14.568297236979085</c:v>
                </c:pt>
                <c:pt idx="143">
                  <c:v>-7.4086038804702001</c:v>
                </c:pt>
                <c:pt idx="144">
                  <c:v>-7.7633611119676438</c:v>
                </c:pt>
                <c:pt idx="145">
                  <c:v>-7.3877102928756724</c:v>
                </c:pt>
                <c:pt idx="146">
                  <c:v>-8.8983045638373568</c:v>
                </c:pt>
                <c:pt idx="147">
                  <c:v>-18.941552416972272</c:v>
                </c:pt>
                <c:pt idx="148">
                  <c:v>-5.6342534981105974</c:v>
                </c:pt>
                <c:pt idx="149">
                  <c:v>-5.9780010246069324</c:v>
                </c:pt>
                <c:pt idx="150">
                  <c:v>-10.88139401638071</c:v>
                </c:pt>
                <c:pt idx="151">
                  <c:v>-8.2154751043850265</c:v>
                </c:pt>
                <c:pt idx="152">
                  <c:v>-11.90850062604688</c:v>
                </c:pt>
                <c:pt idx="153">
                  <c:v>-13.290144241733152</c:v>
                </c:pt>
                <c:pt idx="154">
                  <c:v>-11.112985773124539</c:v>
                </c:pt>
                <c:pt idx="155">
                  <c:v>0.14875217695937337</c:v>
                </c:pt>
                <c:pt idx="156">
                  <c:v>-9.4553284962413748</c:v>
                </c:pt>
                <c:pt idx="157">
                  <c:v>-6.9399380183225876</c:v>
                </c:pt>
                <c:pt idx="158">
                  <c:v>-1.7447410119010431</c:v>
                </c:pt>
                <c:pt idx="159">
                  <c:v>-8.7285552888732845</c:v>
                </c:pt>
                <c:pt idx="160">
                  <c:v>-10.011461837096844</c:v>
                </c:pt>
                <c:pt idx="161">
                  <c:v>-7.9660145309341281</c:v>
                </c:pt>
                <c:pt idx="162">
                  <c:v>-10.429265845237385</c:v>
                </c:pt>
                <c:pt idx="163">
                  <c:v>-12.760513393269029</c:v>
                </c:pt>
                <c:pt idx="164">
                  <c:v>-8.3662296865318062</c:v>
                </c:pt>
                <c:pt idx="165">
                  <c:v>-7.1514412731161192</c:v>
                </c:pt>
                <c:pt idx="166">
                  <c:v>-2.6308930177221441</c:v>
                </c:pt>
                <c:pt idx="167">
                  <c:v>-8.2933562154096059</c:v>
                </c:pt>
                <c:pt idx="168">
                  <c:v>-11.845874054998159</c:v>
                </c:pt>
                <c:pt idx="169">
                  <c:v>-10.112561528190611</c:v>
                </c:pt>
                <c:pt idx="170">
                  <c:v>-5.3262133899981849</c:v>
                </c:pt>
                <c:pt idx="171">
                  <c:v>-9.8150641386954458</c:v>
                </c:pt>
                <c:pt idx="172">
                  <c:v>-3.9470610576966116</c:v>
                </c:pt>
                <c:pt idx="173">
                  <c:v>-8.1050066417229214</c:v>
                </c:pt>
                <c:pt idx="174">
                  <c:v>-7.4690149223621098</c:v>
                </c:pt>
                <c:pt idx="175">
                  <c:v>-20.41311952145486</c:v>
                </c:pt>
                <c:pt idx="176">
                  <c:v>-14.749208421699318</c:v>
                </c:pt>
                <c:pt idx="177">
                  <c:v>-7.8128505827474433</c:v>
                </c:pt>
                <c:pt idx="178">
                  <c:v>-7.0744490078999966</c:v>
                </c:pt>
                <c:pt idx="179">
                  <c:v>-8.888053613483109</c:v>
                </c:pt>
                <c:pt idx="180">
                  <c:v>-7.3302407631398783</c:v>
                </c:pt>
                <c:pt idx="181">
                  <c:v>-8.036479236495838</c:v>
                </c:pt>
                <c:pt idx="182">
                  <c:v>-6.0995318507141985</c:v>
                </c:pt>
                <c:pt idx="183">
                  <c:v>-19.639261606186121</c:v>
                </c:pt>
                <c:pt idx="184">
                  <c:v>-12.373074055605974</c:v>
                </c:pt>
                <c:pt idx="185">
                  <c:v>-16.738190700621661</c:v>
                </c:pt>
                <c:pt idx="186">
                  <c:v>-7.2253302287995229</c:v>
                </c:pt>
                <c:pt idx="187">
                  <c:v>-12.256937993384131</c:v>
                </c:pt>
                <c:pt idx="188">
                  <c:v>-10.85615292800944</c:v>
                </c:pt>
                <c:pt idx="189">
                  <c:v>-3.6379460259234859</c:v>
                </c:pt>
                <c:pt idx="190">
                  <c:v>-5.4646657735736879</c:v>
                </c:pt>
                <c:pt idx="191">
                  <c:v>-6.9521941812600705</c:v>
                </c:pt>
                <c:pt idx="192">
                  <c:v>-3.4416916110872733</c:v>
                </c:pt>
                <c:pt idx="193">
                  <c:v>-14.137596714676842</c:v>
                </c:pt>
                <c:pt idx="194">
                  <c:v>-12.251518472659576</c:v>
                </c:pt>
                <c:pt idx="195">
                  <c:v>-5.3782059462332894</c:v>
                </c:pt>
                <c:pt idx="196">
                  <c:v>-7.0275285004433377</c:v>
                </c:pt>
                <c:pt idx="197">
                  <c:v>-9.1343983095650856</c:v>
                </c:pt>
                <c:pt idx="198">
                  <c:v>-19.00683505490349</c:v>
                </c:pt>
                <c:pt idx="199">
                  <c:v>-9.1200956217860067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1-466F-933F-2DD493CE3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527168"/>
        <c:axId val="1871527584"/>
      </c:scatterChart>
      <c:valAx>
        <c:axId val="187152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27584"/>
        <c:crosses val="autoZero"/>
        <c:crossBetween val="midCat"/>
      </c:valAx>
      <c:valAx>
        <c:axId val="18715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2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7270341207349"/>
          <c:y val="0.27761628754738993"/>
          <c:w val="0.85090507436570428"/>
          <c:h val="0.69695538057742779"/>
        </c:manualLayout>
      </c:layout>
      <c:lineChart>
        <c:grouping val="standard"/>
        <c:varyColors val="0"/>
        <c:ser>
          <c:idx val="0"/>
          <c:order val="0"/>
          <c:tx>
            <c:strRef>
              <c:f>LeastSquares!$F$1</c:f>
              <c:strCache>
                <c:ptCount val="1"/>
                <c:pt idx="0">
                  <c:v>SUM OF SQUARES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1459143333224452E-2"/>
                  <c:y val="3.992616012512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96-4460-96BB-9941EF99818C}"/>
                </c:ext>
              </c:extLst>
            </c:dLbl>
            <c:dLbl>
              <c:idx val="13"/>
              <c:layout>
                <c:manualLayout>
                  <c:x val="-5.5325034578146609E-2"/>
                  <c:y val="-7.7764934114693457E-2"/>
                </c:manualLayout>
              </c:layout>
              <c:spPr>
                <a:solidFill>
                  <a:srgbClr val="92D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496-4460-96BB-9941EF99818C}"/>
                </c:ext>
              </c:extLst>
            </c:dLbl>
            <c:dLbl>
              <c:idx val="27"/>
              <c:layout>
                <c:manualLayout>
                  <c:x val="-0.1078838174273859"/>
                  <c:y val="4.092071611253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496-4460-96BB-9941EF99818C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LeastSquares!$A$2:$A$29</c:f>
              <c:strCache>
                <c:ptCount val="28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  <c:pt idx="6">
                  <c:v>C7</c:v>
                </c:pt>
                <c:pt idx="7">
                  <c:v>C8</c:v>
                </c:pt>
                <c:pt idx="8">
                  <c:v>C9</c:v>
                </c:pt>
                <c:pt idx="9">
                  <c:v>C10</c:v>
                </c:pt>
                <c:pt idx="10">
                  <c:v>C11</c:v>
                </c:pt>
                <c:pt idx="11">
                  <c:v>C12</c:v>
                </c:pt>
                <c:pt idx="12">
                  <c:v>C13</c:v>
                </c:pt>
                <c:pt idx="13">
                  <c:v>C14</c:v>
                </c:pt>
                <c:pt idx="14">
                  <c:v>C15</c:v>
                </c:pt>
                <c:pt idx="15">
                  <c:v>C16</c:v>
                </c:pt>
                <c:pt idx="16">
                  <c:v>C17</c:v>
                </c:pt>
                <c:pt idx="17">
                  <c:v>C18</c:v>
                </c:pt>
                <c:pt idx="18">
                  <c:v>C19</c:v>
                </c:pt>
                <c:pt idx="19">
                  <c:v>C20</c:v>
                </c:pt>
                <c:pt idx="20">
                  <c:v>C21</c:v>
                </c:pt>
                <c:pt idx="21">
                  <c:v>C22</c:v>
                </c:pt>
                <c:pt idx="22">
                  <c:v>C23</c:v>
                </c:pt>
                <c:pt idx="23">
                  <c:v>C24</c:v>
                </c:pt>
                <c:pt idx="24">
                  <c:v>C25</c:v>
                </c:pt>
                <c:pt idx="25">
                  <c:v>C26</c:v>
                </c:pt>
                <c:pt idx="26">
                  <c:v>C27</c:v>
                </c:pt>
                <c:pt idx="27">
                  <c:v>C28</c:v>
                </c:pt>
              </c:strCache>
            </c:strRef>
          </c:cat>
          <c:val>
            <c:numRef>
              <c:f>LeastSquares!$F$2:$F$29</c:f>
              <c:numCache>
                <c:formatCode>0.00</c:formatCode>
                <c:ptCount val="28"/>
                <c:pt idx="0">
                  <c:v>64430.280000000021</c:v>
                </c:pt>
                <c:pt idx="1">
                  <c:v>47699.983655704105</c:v>
                </c:pt>
                <c:pt idx="2">
                  <c:v>40209.30340403934</c:v>
                </c:pt>
                <c:pt idx="3">
                  <c:v>33369.986906057638</c:v>
                </c:pt>
                <c:pt idx="4">
                  <c:v>27182.034161759137</c:v>
                </c:pt>
                <c:pt idx="5">
                  <c:v>21645.445171143558</c:v>
                </c:pt>
                <c:pt idx="6">
                  <c:v>16760.2199342112</c:v>
                </c:pt>
                <c:pt idx="7">
                  <c:v>12526.358450961898</c:v>
                </c:pt>
                <c:pt idx="8">
                  <c:v>8943.8607213956038</c:v>
                </c:pt>
                <c:pt idx="9">
                  <c:v>6012.7267455124784</c:v>
                </c:pt>
                <c:pt idx="10">
                  <c:v>3732.9565233123217</c:v>
                </c:pt>
                <c:pt idx="11">
                  <c:v>2104.5500547953466</c:v>
                </c:pt>
                <c:pt idx="12">
                  <c:v>1127.5073399614062</c:v>
                </c:pt>
                <c:pt idx="13">
                  <c:v>801.82837881056309</c:v>
                </c:pt>
                <c:pt idx="14">
                  <c:v>1128.1973574014473</c:v>
                </c:pt>
                <c:pt idx="15">
                  <c:v>2107.2984506990883</c:v>
                </c:pt>
                <c:pt idx="16">
                  <c:v>3739.1316587034235</c:v>
                </c:pt>
                <c:pt idx="17">
                  <c:v>6023.6969814145996</c:v>
                </c:pt>
                <c:pt idx="18">
                  <c:v>8960.9944188323971</c:v>
                </c:pt>
                <c:pt idx="19">
                  <c:v>12551.023970957023</c:v>
                </c:pt>
                <c:pt idx="20">
                  <c:v>16793.785637788282</c:v>
                </c:pt>
                <c:pt idx="21">
                  <c:v>21689.279419326413</c:v>
                </c:pt>
                <c:pt idx="22">
                  <c:v>27237.505315571154</c:v>
                </c:pt>
                <c:pt idx="23">
                  <c:v>33438.463326522724</c:v>
                </c:pt>
                <c:pt idx="24">
                  <c:v>40292.153452181054</c:v>
                </c:pt>
                <c:pt idx="25">
                  <c:v>47798.575692546096</c:v>
                </c:pt>
                <c:pt idx="26">
                  <c:v>55957.73004761833</c:v>
                </c:pt>
                <c:pt idx="27">
                  <c:v>64769.616517395742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6-4460-96BB-9941EF998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395775"/>
        <c:axId val="2110998191"/>
      </c:lineChart>
      <c:catAx>
        <c:axId val="2035395775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98191"/>
        <c:crosses val="max"/>
        <c:auto val="1"/>
        <c:lblAlgn val="ctr"/>
        <c:lblOffset val="100"/>
        <c:noMultiLvlLbl val="0"/>
      </c:catAx>
      <c:valAx>
        <c:axId val="211099819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95775"/>
        <c:crosses val="autoZero"/>
        <c:crossBetween val="midCat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L$1" max="50" min="1" page="10" val="6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123825</xdr:colOff>
      <xdr:row>6</xdr:row>
      <xdr:rowOff>9525</xdr:rowOff>
    </xdr:from>
    <xdr:to>
      <xdr:col>32</xdr:col>
      <xdr:colOff>723900</xdr:colOff>
      <xdr:row>27</xdr:row>
      <xdr:rowOff>40481</xdr:rowOff>
    </xdr:to>
    <xdr:pic>
      <xdr:nvPicPr>
        <xdr:cNvPr id="2" name="Picture 1" descr="Logistic Regression in Machine Learn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3825" y="1266825"/>
          <a:ext cx="5438775" cy="442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745434</xdr:colOff>
      <xdr:row>5</xdr:row>
      <xdr:rowOff>33130</xdr:rowOff>
    </xdr:from>
    <xdr:to>
      <xdr:col>12</xdr:col>
      <xdr:colOff>455543</xdr:colOff>
      <xdr:row>15</xdr:row>
      <xdr:rowOff>198783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C48275-C699-4A3D-BB7A-BFCE9814E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646043</xdr:colOff>
      <xdr:row>5</xdr:row>
      <xdr:rowOff>0</xdr:rowOff>
    </xdr:from>
    <xdr:to>
      <xdr:col>18</xdr:col>
      <xdr:colOff>331304</xdr:colOff>
      <xdr:row>15</xdr:row>
      <xdr:rowOff>165653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24953B-ED3A-4989-99DB-483872A29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83314</xdr:colOff>
      <xdr:row>16</xdr:row>
      <xdr:rowOff>168088</xdr:rowOff>
    </xdr:from>
    <xdr:to>
      <xdr:col>12</xdr:col>
      <xdr:colOff>555423</xdr:colOff>
      <xdr:row>27</xdr:row>
      <xdr:rowOff>120829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E8A328-3377-4338-B17E-38EC65CB3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12</xdr:col>
      <xdr:colOff>500063</xdr:colOff>
      <xdr:row>17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79376</xdr:colOff>
      <xdr:row>4</xdr:row>
      <xdr:rowOff>79375</xdr:rowOff>
    </xdr:from>
    <xdr:to>
      <xdr:col>16</xdr:col>
      <xdr:colOff>127000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3</xdr:row>
          <xdr:rowOff>9525</xdr:rowOff>
        </xdr:from>
        <xdr:to>
          <xdr:col>11</xdr:col>
          <xdr:colOff>117475</xdr:colOff>
          <xdr:row>5</xdr:row>
          <xdr:rowOff>42863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Regression_LSq!$B$1:$E$2" spid="_x0000_s63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57950" y="666750"/>
              <a:ext cx="4175125" cy="45243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</xdr:col>
      <xdr:colOff>28575</xdr:colOff>
      <xdr:row>6</xdr:row>
      <xdr:rowOff>152399</xdr:rowOff>
    </xdr:from>
    <xdr:to>
      <xdr:col>11</xdr:col>
      <xdr:colOff>514350</xdr:colOff>
      <xdr:row>24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419100</xdr:colOff>
          <xdr:row>0</xdr:row>
          <xdr:rowOff>0</xdr:rowOff>
        </xdr:from>
        <xdr:to>
          <xdr:col>10</xdr:col>
          <xdr:colOff>504825</xdr:colOff>
          <xdr:row>1</xdr:row>
          <xdr:rowOff>209550</xdr:rowOff>
        </xdr:to>
        <xdr:sp macro="" textlink="">
          <xdr:nvSpPr>
            <xdr:cNvPr id="6209" name="Spinner 65" hidden="1">
              <a:extLst>
                <a:ext uri="{63B3BB69-23CF-44E3-9099-C40C66FF867C}">
                  <a14:compatExt spid="_x0000_s6209"/>
                </a:ext>
                <a:ext uri="{FF2B5EF4-FFF2-40B4-BE49-F238E27FC236}">
                  <a16:creationId xmlns:a16="http://schemas.microsoft.com/office/drawing/2014/main" id="{00000000-0008-0000-0400-00004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43D99-269D-42C4-8FEE-5CC0C3FFDC0E}" name="Data_Churn" displayName="Data_Churn" ref="A1:E201" totalsRowShown="0" headerRowDxfId="1">
  <tableColumns count="5">
    <tableColumn id="1" xr3:uid="{C9494320-4C66-492E-8823-9597B05DA638}" name="Campaings"/>
    <tableColumn id="2" xr3:uid="{DA5BBAFF-B02F-4A01-8E39-7EAF721008C8}" name="sales"/>
    <tableColumn id="3" xr3:uid="{F6006C96-3F48-416E-A794-D2F8CE4B14EE}" name="youtube"/>
    <tableColumn id="8" xr3:uid="{3ADCF4C9-5EBB-4EE3-850E-00C51FE09E63}" name="facebook"/>
    <tableColumn id="9" xr3:uid="{77AB27BD-C899-4464-8581-EC6D46C5C9BC}" name="newspaper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D587-8D7E-450F-A4C0-A10F3D06F133}">
  <dimension ref="B4:F11"/>
  <sheetViews>
    <sheetView tabSelected="1" zoomScale="180" zoomScaleNormal="180" workbookViewId="0">
      <selection activeCell="C8" sqref="C8"/>
    </sheetView>
  </sheetViews>
  <sheetFormatPr defaultRowHeight="16.5" outlineLevelRow="1" x14ac:dyDescent="0.3"/>
  <cols>
    <col min="1" max="1" width="3.88671875" customWidth="1"/>
    <col min="2" max="2" width="11.5546875" bestFit="1" customWidth="1"/>
    <col min="3" max="3" width="8" bestFit="1" customWidth="1"/>
    <col min="4" max="4" width="8.5546875" bestFit="1" customWidth="1"/>
    <col min="5" max="5" width="10.109375" bestFit="1" customWidth="1"/>
    <col min="6" max="6" width="6" bestFit="1" customWidth="1"/>
  </cols>
  <sheetData>
    <row r="4" spans="2:6" ht="19.5" thickBot="1" x14ac:dyDescent="0.4">
      <c r="B4" s="40" t="s">
        <v>237</v>
      </c>
      <c r="C4" s="40"/>
      <c r="D4" s="40"/>
      <c r="E4" s="40"/>
    </row>
    <row r="5" spans="2:6" ht="17.25" thickTop="1" x14ac:dyDescent="0.3"/>
    <row r="6" spans="2:6" hidden="1" outlineLevel="1" x14ac:dyDescent="0.3">
      <c r="C6" s="7" t="s">
        <v>238</v>
      </c>
      <c r="D6" s="7" t="s">
        <v>239</v>
      </c>
      <c r="E6" s="7" t="s">
        <v>240</v>
      </c>
      <c r="F6" s="7" t="s">
        <v>241</v>
      </c>
    </row>
    <row r="7" spans="2:6" hidden="1" outlineLevel="1" x14ac:dyDescent="0.3">
      <c r="B7" t="s">
        <v>242</v>
      </c>
    </row>
    <row r="8" spans="2:6" collapsed="1" x14ac:dyDescent="0.3"/>
    <row r="9" spans="2:6" x14ac:dyDescent="0.3">
      <c r="B9" s="36" t="s">
        <v>243</v>
      </c>
      <c r="C9" s="36" t="s">
        <v>47</v>
      </c>
      <c r="D9" s="36" t="s">
        <v>224</v>
      </c>
      <c r="E9" s="37" t="s">
        <v>225</v>
      </c>
      <c r="F9" s="38" t="s">
        <v>244</v>
      </c>
    </row>
    <row r="10" spans="2:6" x14ac:dyDescent="0.3">
      <c r="B10" s="39">
        <f>SUM(C10:E10)</f>
        <v>180</v>
      </c>
      <c r="C10" s="39">
        <v>80</v>
      </c>
      <c r="D10" s="39">
        <v>50</v>
      </c>
      <c r="E10" s="39">
        <v>50</v>
      </c>
      <c r="F10" s="39"/>
    </row>
    <row r="11" spans="2:6" x14ac:dyDescent="0.3">
      <c r="B11" s="39">
        <f>SUM(C11:E11)</f>
        <v>160</v>
      </c>
      <c r="C11" s="39">
        <v>20</v>
      </c>
      <c r="D11" s="39">
        <v>80</v>
      </c>
      <c r="E11" s="39">
        <v>60</v>
      </c>
      <c r="F11" s="39"/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6244-5EEF-4C4F-BC7B-839B8619805E}">
  <dimension ref="A1:AE201"/>
  <sheetViews>
    <sheetView showGridLines="0" topLeftCell="B1" zoomScaleNormal="100" workbookViewId="0">
      <selection activeCell="P29" sqref="P29"/>
    </sheetView>
  </sheetViews>
  <sheetFormatPr defaultRowHeight="16.5" outlineLevelCol="1" x14ac:dyDescent="0.3"/>
  <cols>
    <col min="1" max="1" width="10.109375" bestFit="1" customWidth="1"/>
    <col min="2" max="2" width="6" bestFit="1" customWidth="1"/>
    <col min="3" max="3" width="8" bestFit="1" customWidth="1"/>
    <col min="4" max="4" width="8.5546875" bestFit="1" customWidth="1"/>
    <col min="5" max="5" width="10.109375" bestFit="1" customWidth="1"/>
    <col min="7" max="7" width="15.77734375" bestFit="1" customWidth="1"/>
    <col min="8" max="8" width="10.6640625" bestFit="1" customWidth="1"/>
    <col min="10" max="10" width="9.44140625" hidden="1" customWidth="1" outlineLevel="1"/>
    <col min="11" max="11" width="10.44140625" hidden="1" customWidth="1" outlineLevel="1"/>
    <col min="12" max="12" width="8.88671875" collapsed="1"/>
    <col min="30" max="30" width="6.77734375" bestFit="1" customWidth="1"/>
    <col min="31" max="31" width="40.77734375" bestFit="1" customWidth="1"/>
  </cols>
  <sheetData>
    <row r="1" spans="1:31" ht="17.25" thickBot="1" x14ac:dyDescent="0.35">
      <c r="A1" s="8" t="s">
        <v>45</v>
      </c>
      <c r="B1" s="8" t="s">
        <v>46</v>
      </c>
      <c r="C1" s="8" t="s">
        <v>47</v>
      </c>
      <c r="D1" s="8" t="s">
        <v>224</v>
      </c>
      <c r="E1" s="8" t="s">
        <v>225</v>
      </c>
      <c r="F1" s="5"/>
      <c r="G1" s="21" t="s">
        <v>43</v>
      </c>
      <c r="H1" s="22" t="s">
        <v>226</v>
      </c>
      <c r="J1" s="21" t="s">
        <v>43</v>
      </c>
      <c r="K1" s="22" t="s">
        <v>236</v>
      </c>
    </row>
    <row r="2" spans="1:31" x14ac:dyDescent="0.3">
      <c r="A2" t="s">
        <v>19</v>
      </c>
      <c r="B2">
        <v>26.52</v>
      </c>
      <c r="C2">
        <v>276.12</v>
      </c>
      <c r="D2">
        <v>45.36</v>
      </c>
      <c r="E2">
        <v>83.04</v>
      </c>
      <c r="G2" s="23" t="s">
        <v>47</v>
      </c>
      <c r="H2" s="33">
        <f ca="1">CORREL(sales,INDIRECT(Data!$G2))</f>
        <v>0.78222442486160648</v>
      </c>
      <c r="J2" s="23" t="s">
        <v>47</v>
      </c>
      <c r="K2" s="33">
        <f ca="1">_xlfn.COVARIANCE.P(sales,INDIRECT(Data!$J2))</f>
        <v>502.03907100000004</v>
      </c>
    </row>
    <row r="3" spans="1:31" x14ac:dyDescent="0.3">
      <c r="A3" t="s">
        <v>20</v>
      </c>
      <c r="B3">
        <v>12.48</v>
      </c>
      <c r="C3">
        <v>53.4</v>
      </c>
      <c r="D3">
        <v>47.16</v>
      </c>
      <c r="E3">
        <v>54.12</v>
      </c>
      <c r="G3" s="24" t="s">
        <v>224</v>
      </c>
      <c r="H3" s="34">
        <f ca="1">CORREL(sales,INDIRECT(Data!$G3))</f>
        <v>0.57622257457105552</v>
      </c>
      <c r="J3" s="24" t="s">
        <v>224</v>
      </c>
      <c r="K3" s="34">
        <f ca="1">_xlfn.COVARIANCE.P(sales,INDIRECT(Data!$J3))</f>
        <v>63.954014400000013</v>
      </c>
      <c r="AE3" t="s">
        <v>8</v>
      </c>
    </row>
    <row r="4" spans="1:31" ht="17.25" thickBot="1" x14ac:dyDescent="0.35">
      <c r="A4" t="s">
        <v>21</v>
      </c>
      <c r="B4">
        <v>11.16</v>
      </c>
      <c r="C4">
        <v>20.64</v>
      </c>
      <c r="D4">
        <v>55.08</v>
      </c>
      <c r="E4">
        <v>83.16</v>
      </c>
      <c r="G4" s="25" t="s">
        <v>225</v>
      </c>
      <c r="H4" s="35">
        <f ca="1">CORREL(sales,INDIRECT(Data!$G4))</f>
        <v>0.2282990263761652</v>
      </c>
      <c r="J4" s="25" t="s">
        <v>225</v>
      </c>
      <c r="K4" s="35">
        <f ca="1">_xlfn.COVARIANCE.P(sales,INDIRECT(Data!$J4))</f>
        <v>37.168826399999979</v>
      </c>
      <c r="AD4" t="s">
        <v>4</v>
      </c>
      <c r="AE4" t="s">
        <v>3</v>
      </c>
    </row>
    <row r="5" spans="1:31" x14ac:dyDescent="0.3">
      <c r="A5" t="s">
        <v>22</v>
      </c>
      <c r="B5">
        <v>22.2</v>
      </c>
      <c r="C5">
        <v>181.8</v>
      </c>
      <c r="D5">
        <v>49.56</v>
      </c>
      <c r="E5">
        <v>70.2</v>
      </c>
      <c r="AE5" t="s">
        <v>7</v>
      </c>
    </row>
    <row r="6" spans="1:31" x14ac:dyDescent="0.3">
      <c r="A6" t="s">
        <v>23</v>
      </c>
      <c r="B6">
        <v>15.48</v>
      </c>
      <c r="C6">
        <v>216.96</v>
      </c>
      <c r="D6">
        <v>12.96</v>
      </c>
      <c r="E6">
        <v>70.08</v>
      </c>
    </row>
    <row r="7" spans="1:31" x14ac:dyDescent="0.3">
      <c r="A7" t="s">
        <v>24</v>
      </c>
      <c r="B7">
        <v>8.64</v>
      </c>
      <c r="C7">
        <v>10.44</v>
      </c>
      <c r="D7">
        <v>58.68</v>
      </c>
      <c r="E7">
        <v>90</v>
      </c>
    </row>
    <row r="8" spans="1:31" x14ac:dyDescent="0.3">
      <c r="A8" t="s">
        <v>25</v>
      </c>
      <c r="B8">
        <v>14.16</v>
      </c>
      <c r="C8">
        <v>69</v>
      </c>
      <c r="D8">
        <v>39.36</v>
      </c>
      <c r="E8">
        <v>28.2</v>
      </c>
    </row>
    <row r="9" spans="1:31" x14ac:dyDescent="0.3">
      <c r="A9" t="s">
        <v>26</v>
      </c>
      <c r="B9">
        <v>15.84</v>
      </c>
      <c r="C9">
        <v>144.24</v>
      </c>
      <c r="D9">
        <v>23.52</v>
      </c>
      <c r="E9">
        <v>13.92</v>
      </c>
    </row>
    <row r="10" spans="1:31" x14ac:dyDescent="0.3">
      <c r="A10" t="s">
        <v>27</v>
      </c>
      <c r="B10">
        <v>5.76</v>
      </c>
      <c r="C10">
        <v>10.32</v>
      </c>
      <c r="D10">
        <v>2.52</v>
      </c>
      <c r="E10">
        <v>1.2</v>
      </c>
    </row>
    <row r="11" spans="1:31" x14ac:dyDescent="0.3">
      <c r="A11" t="s">
        <v>28</v>
      </c>
      <c r="B11">
        <v>12.72</v>
      </c>
      <c r="C11">
        <v>239.76</v>
      </c>
      <c r="D11">
        <v>3.12</v>
      </c>
      <c r="E11">
        <v>25.44</v>
      </c>
    </row>
    <row r="12" spans="1:31" x14ac:dyDescent="0.3">
      <c r="A12" t="s">
        <v>29</v>
      </c>
      <c r="B12">
        <v>10.32</v>
      </c>
      <c r="C12">
        <v>79.319999999999993</v>
      </c>
      <c r="D12">
        <v>6.96</v>
      </c>
      <c r="E12">
        <v>29.04</v>
      </c>
    </row>
    <row r="13" spans="1:31" x14ac:dyDescent="0.3">
      <c r="A13" t="s">
        <v>30</v>
      </c>
      <c r="B13">
        <v>20.88</v>
      </c>
      <c r="C13">
        <v>257.64</v>
      </c>
      <c r="D13">
        <v>28.8</v>
      </c>
      <c r="E13">
        <v>4.8</v>
      </c>
    </row>
    <row r="14" spans="1:31" x14ac:dyDescent="0.3">
      <c r="A14" t="s">
        <v>31</v>
      </c>
      <c r="B14">
        <v>11.04</v>
      </c>
      <c r="C14">
        <v>28.56</v>
      </c>
      <c r="D14">
        <v>42.12</v>
      </c>
      <c r="E14">
        <v>79.08</v>
      </c>
    </row>
    <row r="15" spans="1:31" x14ac:dyDescent="0.3">
      <c r="A15" t="s">
        <v>32</v>
      </c>
      <c r="B15">
        <v>11.64</v>
      </c>
      <c r="C15">
        <v>117</v>
      </c>
      <c r="D15">
        <v>9.1199999999999992</v>
      </c>
      <c r="E15">
        <v>8.64</v>
      </c>
    </row>
    <row r="16" spans="1:31" x14ac:dyDescent="0.3">
      <c r="A16" t="s">
        <v>33</v>
      </c>
      <c r="B16">
        <v>22.8</v>
      </c>
      <c r="C16">
        <v>244.92</v>
      </c>
      <c r="D16">
        <v>39.479999999999997</v>
      </c>
      <c r="E16">
        <v>55.2</v>
      </c>
    </row>
    <row r="17" spans="1:5" x14ac:dyDescent="0.3">
      <c r="A17" t="s">
        <v>34</v>
      </c>
      <c r="B17">
        <v>26.88</v>
      </c>
      <c r="C17">
        <v>234.48</v>
      </c>
      <c r="D17">
        <v>57.24</v>
      </c>
      <c r="E17">
        <v>63.48</v>
      </c>
    </row>
    <row r="18" spans="1:5" x14ac:dyDescent="0.3">
      <c r="A18" t="s">
        <v>35</v>
      </c>
      <c r="B18">
        <v>15</v>
      </c>
      <c r="C18">
        <v>81.36</v>
      </c>
      <c r="D18">
        <v>43.92</v>
      </c>
      <c r="E18">
        <v>136.80000000000001</v>
      </c>
    </row>
    <row r="19" spans="1:5" x14ac:dyDescent="0.3">
      <c r="A19" t="s">
        <v>36</v>
      </c>
      <c r="B19">
        <v>29.28</v>
      </c>
      <c r="C19">
        <v>337.68</v>
      </c>
      <c r="D19">
        <v>47.52</v>
      </c>
      <c r="E19">
        <v>66.959999999999994</v>
      </c>
    </row>
    <row r="20" spans="1:5" x14ac:dyDescent="0.3">
      <c r="A20" t="s">
        <v>37</v>
      </c>
      <c r="B20">
        <v>13.56</v>
      </c>
      <c r="C20">
        <v>83.04</v>
      </c>
      <c r="D20">
        <v>24.6</v>
      </c>
      <c r="E20">
        <v>21.96</v>
      </c>
    </row>
    <row r="21" spans="1:5" x14ac:dyDescent="0.3">
      <c r="A21" t="s">
        <v>38</v>
      </c>
      <c r="B21">
        <v>17.52</v>
      </c>
      <c r="C21">
        <v>176.76</v>
      </c>
      <c r="D21">
        <v>28.68</v>
      </c>
      <c r="E21">
        <v>22.92</v>
      </c>
    </row>
    <row r="22" spans="1:5" x14ac:dyDescent="0.3">
      <c r="A22" t="s">
        <v>39</v>
      </c>
      <c r="B22">
        <v>21.6</v>
      </c>
      <c r="C22">
        <v>262.08</v>
      </c>
      <c r="D22">
        <v>33.24</v>
      </c>
      <c r="E22">
        <v>64.08</v>
      </c>
    </row>
    <row r="23" spans="1:5" x14ac:dyDescent="0.3">
      <c r="A23" t="s">
        <v>40</v>
      </c>
      <c r="B23">
        <v>15</v>
      </c>
      <c r="C23">
        <v>284.88</v>
      </c>
      <c r="D23">
        <v>6.12</v>
      </c>
      <c r="E23">
        <v>28.2</v>
      </c>
    </row>
    <row r="24" spans="1:5" x14ac:dyDescent="0.3">
      <c r="A24" t="s">
        <v>41</v>
      </c>
      <c r="B24">
        <v>6.72</v>
      </c>
      <c r="C24">
        <v>15.84</v>
      </c>
      <c r="D24">
        <v>19.079999999999998</v>
      </c>
      <c r="E24">
        <v>59.52</v>
      </c>
    </row>
    <row r="25" spans="1:5" x14ac:dyDescent="0.3">
      <c r="A25" t="s">
        <v>42</v>
      </c>
      <c r="B25">
        <v>18.600000000000001</v>
      </c>
      <c r="C25">
        <v>273.95999999999998</v>
      </c>
      <c r="D25">
        <v>20.28</v>
      </c>
      <c r="E25">
        <v>31.44</v>
      </c>
    </row>
    <row r="26" spans="1:5" x14ac:dyDescent="0.3">
      <c r="A26" t="s">
        <v>48</v>
      </c>
      <c r="B26">
        <v>11.64</v>
      </c>
      <c r="C26">
        <v>74.760000000000005</v>
      </c>
      <c r="D26">
        <v>15.12</v>
      </c>
      <c r="E26">
        <v>21.96</v>
      </c>
    </row>
    <row r="27" spans="1:5" x14ac:dyDescent="0.3">
      <c r="A27" t="s">
        <v>49</v>
      </c>
      <c r="B27">
        <v>14.4</v>
      </c>
      <c r="C27">
        <v>315.48</v>
      </c>
      <c r="D27">
        <v>4.2</v>
      </c>
      <c r="E27">
        <v>23.4</v>
      </c>
    </row>
    <row r="28" spans="1:5" x14ac:dyDescent="0.3">
      <c r="A28" t="s">
        <v>50</v>
      </c>
      <c r="B28">
        <v>18</v>
      </c>
      <c r="C28">
        <v>171.48</v>
      </c>
      <c r="D28">
        <v>35.159999999999997</v>
      </c>
      <c r="E28">
        <v>15.12</v>
      </c>
    </row>
    <row r="29" spans="1:5" x14ac:dyDescent="0.3">
      <c r="A29" t="s">
        <v>51</v>
      </c>
      <c r="B29">
        <v>19.079999999999998</v>
      </c>
      <c r="C29">
        <v>288.12</v>
      </c>
      <c r="D29">
        <v>20.04</v>
      </c>
      <c r="E29">
        <v>27.48</v>
      </c>
    </row>
    <row r="30" spans="1:5" x14ac:dyDescent="0.3">
      <c r="A30" t="s">
        <v>52</v>
      </c>
      <c r="B30">
        <v>22.68</v>
      </c>
      <c r="C30">
        <v>298.56</v>
      </c>
      <c r="D30">
        <v>32.520000000000003</v>
      </c>
      <c r="E30">
        <v>27.48</v>
      </c>
    </row>
    <row r="31" spans="1:5" x14ac:dyDescent="0.3">
      <c r="A31" t="s">
        <v>53</v>
      </c>
      <c r="B31">
        <v>12.6</v>
      </c>
      <c r="C31">
        <v>84.72</v>
      </c>
      <c r="D31">
        <v>19.2</v>
      </c>
      <c r="E31">
        <v>48.96</v>
      </c>
    </row>
    <row r="32" spans="1:5" x14ac:dyDescent="0.3">
      <c r="A32" t="s">
        <v>54</v>
      </c>
      <c r="B32">
        <v>25.68</v>
      </c>
      <c r="C32">
        <v>351.48</v>
      </c>
      <c r="D32">
        <v>33.96</v>
      </c>
      <c r="E32">
        <v>51.84</v>
      </c>
    </row>
    <row r="33" spans="1:5" x14ac:dyDescent="0.3">
      <c r="A33" t="s">
        <v>55</v>
      </c>
      <c r="B33">
        <v>14.28</v>
      </c>
      <c r="C33">
        <v>135.47999999999999</v>
      </c>
      <c r="D33">
        <v>20.88</v>
      </c>
      <c r="E33">
        <v>46.32</v>
      </c>
    </row>
    <row r="34" spans="1:5" x14ac:dyDescent="0.3">
      <c r="A34" t="s">
        <v>56</v>
      </c>
      <c r="B34">
        <v>11.52</v>
      </c>
      <c r="C34">
        <v>116.64</v>
      </c>
      <c r="D34">
        <v>1.8</v>
      </c>
      <c r="E34">
        <v>36</v>
      </c>
    </row>
    <row r="35" spans="1:5" x14ac:dyDescent="0.3">
      <c r="A35" t="s">
        <v>57</v>
      </c>
      <c r="B35">
        <v>20.88</v>
      </c>
      <c r="C35">
        <v>318.72000000000003</v>
      </c>
      <c r="D35">
        <v>24</v>
      </c>
      <c r="E35">
        <v>0.36</v>
      </c>
    </row>
    <row r="36" spans="1:5" x14ac:dyDescent="0.3">
      <c r="A36" t="s">
        <v>58</v>
      </c>
      <c r="B36">
        <v>11.4</v>
      </c>
      <c r="C36">
        <v>114.84</v>
      </c>
      <c r="D36">
        <v>1.68</v>
      </c>
      <c r="E36">
        <v>8.8800000000000008</v>
      </c>
    </row>
    <row r="37" spans="1:5" x14ac:dyDescent="0.3">
      <c r="A37" t="s">
        <v>59</v>
      </c>
      <c r="B37">
        <v>15.36</v>
      </c>
      <c r="C37">
        <v>348.84</v>
      </c>
      <c r="D37">
        <v>4.92</v>
      </c>
      <c r="E37">
        <v>10.199999999999999</v>
      </c>
    </row>
    <row r="38" spans="1:5" x14ac:dyDescent="0.3">
      <c r="A38" t="s">
        <v>60</v>
      </c>
      <c r="B38">
        <v>30.48</v>
      </c>
      <c r="C38">
        <v>320.27999999999997</v>
      </c>
      <c r="D38">
        <v>52.56</v>
      </c>
      <c r="E38">
        <v>6</v>
      </c>
    </row>
    <row r="39" spans="1:5" x14ac:dyDescent="0.3">
      <c r="A39" t="s">
        <v>61</v>
      </c>
      <c r="B39">
        <v>17.64</v>
      </c>
      <c r="C39">
        <v>89.64</v>
      </c>
      <c r="D39">
        <v>59.28</v>
      </c>
      <c r="E39">
        <v>54.84</v>
      </c>
    </row>
    <row r="40" spans="1:5" x14ac:dyDescent="0.3">
      <c r="A40" t="s">
        <v>62</v>
      </c>
      <c r="B40">
        <v>12.12</v>
      </c>
      <c r="C40">
        <v>51.72</v>
      </c>
      <c r="D40">
        <v>32.04</v>
      </c>
      <c r="E40">
        <v>42.12</v>
      </c>
    </row>
    <row r="41" spans="1:5" x14ac:dyDescent="0.3">
      <c r="A41" t="s">
        <v>63</v>
      </c>
      <c r="B41">
        <v>25.8</v>
      </c>
      <c r="C41">
        <v>273.60000000000002</v>
      </c>
      <c r="D41">
        <v>45.24</v>
      </c>
      <c r="E41">
        <v>38.4</v>
      </c>
    </row>
    <row r="42" spans="1:5" x14ac:dyDescent="0.3">
      <c r="A42" t="s">
        <v>64</v>
      </c>
      <c r="B42">
        <v>19.920000000000002</v>
      </c>
      <c r="C42">
        <v>243</v>
      </c>
      <c r="D42">
        <v>26.76</v>
      </c>
      <c r="E42">
        <v>37.92</v>
      </c>
    </row>
    <row r="43" spans="1:5" x14ac:dyDescent="0.3">
      <c r="A43" t="s">
        <v>65</v>
      </c>
      <c r="B43">
        <v>20.52</v>
      </c>
      <c r="C43">
        <v>212.4</v>
      </c>
      <c r="D43">
        <v>40.08</v>
      </c>
      <c r="E43">
        <v>46.44</v>
      </c>
    </row>
    <row r="44" spans="1:5" x14ac:dyDescent="0.3">
      <c r="A44" t="s">
        <v>66</v>
      </c>
      <c r="B44">
        <v>24.84</v>
      </c>
      <c r="C44">
        <v>352.32</v>
      </c>
      <c r="D44">
        <v>33.24</v>
      </c>
      <c r="E44">
        <v>2.16</v>
      </c>
    </row>
    <row r="45" spans="1:5" x14ac:dyDescent="0.3">
      <c r="A45" t="s">
        <v>67</v>
      </c>
      <c r="B45">
        <v>15.48</v>
      </c>
      <c r="C45">
        <v>248.28</v>
      </c>
      <c r="D45">
        <v>10.08</v>
      </c>
      <c r="E45">
        <v>31.68</v>
      </c>
    </row>
    <row r="46" spans="1:5" x14ac:dyDescent="0.3">
      <c r="A46" t="s">
        <v>68</v>
      </c>
      <c r="B46">
        <v>10.199999999999999</v>
      </c>
      <c r="C46">
        <v>30.12</v>
      </c>
      <c r="D46">
        <v>30.84</v>
      </c>
      <c r="E46">
        <v>51.96</v>
      </c>
    </row>
    <row r="47" spans="1:5" x14ac:dyDescent="0.3">
      <c r="A47" t="s">
        <v>69</v>
      </c>
      <c r="B47">
        <v>17.88</v>
      </c>
      <c r="C47">
        <v>210.12</v>
      </c>
      <c r="D47">
        <v>27</v>
      </c>
      <c r="E47">
        <v>37.799999999999997</v>
      </c>
    </row>
    <row r="48" spans="1:5" x14ac:dyDescent="0.3">
      <c r="A48" t="s">
        <v>70</v>
      </c>
      <c r="B48">
        <v>12.72</v>
      </c>
      <c r="C48">
        <v>107.64</v>
      </c>
      <c r="D48">
        <v>11.88</v>
      </c>
      <c r="E48">
        <v>42.84</v>
      </c>
    </row>
    <row r="49" spans="1:5" x14ac:dyDescent="0.3">
      <c r="A49" t="s">
        <v>71</v>
      </c>
      <c r="B49">
        <v>27.84</v>
      </c>
      <c r="C49">
        <v>287.88</v>
      </c>
      <c r="D49">
        <v>49.8</v>
      </c>
      <c r="E49">
        <v>22.2</v>
      </c>
    </row>
    <row r="50" spans="1:5" x14ac:dyDescent="0.3">
      <c r="A50" t="s">
        <v>72</v>
      </c>
      <c r="B50">
        <v>17.760000000000002</v>
      </c>
      <c r="C50">
        <v>272.64</v>
      </c>
      <c r="D50">
        <v>18.96</v>
      </c>
      <c r="E50">
        <v>59.88</v>
      </c>
    </row>
    <row r="51" spans="1:5" x14ac:dyDescent="0.3">
      <c r="A51" t="s">
        <v>73</v>
      </c>
      <c r="B51">
        <v>11.64</v>
      </c>
      <c r="C51">
        <v>80.28</v>
      </c>
      <c r="D51">
        <v>14.04</v>
      </c>
      <c r="E51">
        <v>44.16</v>
      </c>
    </row>
    <row r="52" spans="1:5" x14ac:dyDescent="0.3">
      <c r="A52" t="s">
        <v>74</v>
      </c>
      <c r="B52">
        <v>13.68</v>
      </c>
      <c r="C52">
        <v>239.76</v>
      </c>
      <c r="D52">
        <v>3.72</v>
      </c>
      <c r="E52">
        <v>41.52</v>
      </c>
    </row>
    <row r="53" spans="1:5" x14ac:dyDescent="0.3">
      <c r="A53" t="s">
        <v>75</v>
      </c>
      <c r="B53">
        <v>12.84</v>
      </c>
      <c r="C53">
        <v>120.48</v>
      </c>
      <c r="D53">
        <v>11.52</v>
      </c>
      <c r="E53">
        <v>4.32</v>
      </c>
    </row>
    <row r="54" spans="1:5" x14ac:dyDescent="0.3">
      <c r="A54" t="s">
        <v>76</v>
      </c>
      <c r="B54">
        <v>27.12</v>
      </c>
      <c r="C54">
        <v>259.68</v>
      </c>
      <c r="D54">
        <v>50.04</v>
      </c>
      <c r="E54">
        <v>47.52</v>
      </c>
    </row>
    <row r="55" spans="1:5" x14ac:dyDescent="0.3">
      <c r="A55" t="s">
        <v>77</v>
      </c>
      <c r="B55">
        <v>25.44</v>
      </c>
      <c r="C55">
        <v>219.12</v>
      </c>
      <c r="D55">
        <v>55.44</v>
      </c>
      <c r="E55">
        <v>70.44</v>
      </c>
    </row>
    <row r="56" spans="1:5" x14ac:dyDescent="0.3">
      <c r="A56" t="s">
        <v>78</v>
      </c>
      <c r="B56">
        <v>24.24</v>
      </c>
      <c r="C56">
        <v>315.24</v>
      </c>
      <c r="D56">
        <v>34.56</v>
      </c>
      <c r="E56">
        <v>19.079999999999998</v>
      </c>
    </row>
    <row r="57" spans="1:5" x14ac:dyDescent="0.3">
      <c r="A57" t="s">
        <v>79</v>
      </c>
      <c r="B57">
        <v>28.44</v>
      </c>
      <c r="C57">
        <v>238.68</v>
      </c>
      <c r="D57">
        <v>59.28</v>
      </c>
      <c r="E57">
        <v>72</v>
      </c>
    </row>
    <row r="58" spans="1:5" x14ac:dyDescent="0.3">
      <c r="A58" t="s">
        <v>80</v>
      </c>
      <c r="B58">
        <v>6.6</v>
      </c>
      <c r="C58">
        <v>8.76</v>
      </c>
      <c r="D58">
        <v>33.72</v>
      </c>
      <c r="E58">
        <v>49.68</v>
      </c>
    </row>
    <row r="59" spans="1:5" x14ac:dyDescent="0.3">
      <c r="A59" t="s">
        <v>81</v>
      </c>
      <c r="B59">
        <v>15.84</v>
      </c>
      <c r="C59">
        <v>163.44</v>
      </c>
      <c r="D59">
        <v>23.04</v>
      </c>
      <c r="E59">
        <v>19.920000000000002</v>
      </c>
    </row>
    <row r="60" spans="1:5" x14ac:dyDescent="0.3">
      <c r="A60" t="s">
        <v>82</v>
      </c>
      <c r="B60">
        <v>28.56</v>
      </c>
      <c r="C60">
        <v>252.96</v>
      </c>
      <c r="D60">
        <v>59.52</v>
      </c>
      <c r="E60">
        <v>45.24</v>
      </c>
    </row>
    <row r="61" spans="1:5" x14ac:dyDescent="0.3">
      <c r="A61" t="s">
        <v>83</v>
      </c>
      <c r="B61">
        <v>22.08</v>
      </c>
      <c r="C61">
        <v>252.84</v>
      </c>
      <c r="D61">
        <v>35.4</v>
      </c>
      <c r="E61">
        <v>11.16</v>
      </c>
    </row>
    <row r="62" spans="1:5" x14ac:dyDescent="0.3">
      <c r="A62" t="s">
        <v>84</v>
      </c>
      <c r="B62">
        <v>9.7200000000000006</v>
      </c>
      <c r="C62">
        <v>64.2</v>
      </c>
      <c r="D62">
        <v>2.4</v>
      </c>
      <c r="E62">
        <v>25.68</v>
      </c>
    </row>
    <row r="63" spans="1:5" x14ac:dyDescent="0.3">
      <c r="A63" t="s">
        <v>85</v>
      </c>
      <c r="B63">
        <v>29.04</v>
      </c>
      <c r="C63">
        <v>313.56</v>
      </c>
      <c r="D63">
        <v>51.24</v>
      </c>
      <c r="E63">
        <v>65.64</v>
      </c>
    </row>
    <row r="64" spans="1:5" x14ac:dyDescent="0.3">
      <c r="A64" t="s">
        <v>86</v>
      </c>
      <c r="B64">
        <v>18.84</v>
      </c>
      <c r="C64">
        <v>287.16000000000003</v>
      </c>
      <c r="D64">
        <v>18.600000000000001</v>
      </c>
      <c r="E64">
        <v>32.76</v>
      </c>
    </row>
    <row r="65" spans="1:5" x14ac:dyDescent="0.3">
      <c r="A65" t="s">
        <v>87</v>
      </c>
      <c r="B65">
        <v>16.8</v>
      </c>
      <c r="C65">
        <v>123.24</v>
      </c>
      <c r="D65">
        <v>35.520000000000003</v>
      </c>
      <c r="E65">
        <v>10.08</v>
      </c>
    </row>
    <row r="66" spans="1:5" x14ac:dyDescent="0.3">
      <c r="A66" t="s">
        <v>88</v>
      </c>
      <c r="B66">
        <v>21.6</v>
      </c>
      <c r="C66">
        <v>157.32</v>
      </c>
      <c r="D66">
        <v>51.36</v>
      </c>
      <c r="E66">
        <v>34.68</v>
      </c>
    </row>
    <row r="67" spans="1:5" x14ac:dyDescent="0.3">
      <c r="A67" t="s">
        <v>89</v>
      </c>
      <c r="B67">
        <v>11.16</v>
      </c>
      <c r="C67">
        <v>82.8</v>
      </c>
      <c r="D67">
        <v>11.16</v>
      </c>
      <c r="E67">
        <v>1.08</v>
      </c>
    </row>
    <row r="68" spans="1:5" x14ac:dyDescent="0.3">
      <c r="A68" t="s">
        <v>90</v>
      </c>
      <c r="B68">
        <v>11.4</v>
      </c>
      <c r="C68">
        <v>37.799999999999997</v>
      </c>
      <c r="D68">
        <v>29.52</v>
      </c>
      <c r="E68">
        <v>2.64</v>
      </c>
    </row>
    <row r="69" spans="1:5" x14ac:dyDescent="0.3">
      <c r="A69" t="s">
        <v>91</v>
      </c>
      <c r="B69">
        <v>16.079999999999998</v>
      </c>
      <c r="C69">
        <v>167.16</v>
      </c>
      <c r="D69">
        <v>17.399999999999999</v>
      </c>
      <c r="E69">
        <v>12.24</v>
      </c>
    </row>
    <row r="70" spans="1:5" x14ac:dyDescent="0.3">
      <c r="A70" t="s">
        <v>92</v>
      </c>
      <c r="B70">
        <v>22.68</v>
      </c>
      <c r="C70">
        <v>284.88</v>
      </c>
      <c r="D70">
        <v>33</v>
      </c>
      <c r="E70">
        <v>13.2</v>
      </c>
    </row>
    <row r="71" spans="1:5" x14ac:dyDescent="0.3">
      <c r="A71" t="s">
        <v>93</v>
      </c>
      <c r="B71">
        <v>26.76</v>
      </c>
      <c r="C71">
        <v>260.16000000000003</v>
      </c>
      <c r="D71">
        <v>52.68</v>
      </c>
      <c r="E71">
        <v>32.64</v>
      </c>
    </row>
    <row r="72" spans="1:5" x14ac:dyDescent="0.3">
      <c r="A72" t="s">
        <v>94</v>
      </c>
      <c r="B72">
        <v>21.96</v>
      </c>
      <c r="C72">
        <v>238.92</v>
      </c>
      <c r="D72">
        <v>36.72</v>
      </c>
      <c r="E72">
        <v>46.44</v>
      </c>
    </row>
    <row r="73" spans="1:5" x14ac:dyDescent="0.3">
      <c r="A73" t="s">
        <v>95</v>
      </c>
      <c r="B73">
        <v>14.88</v>
      </c>
      <c r="C73">
        <v>131.76</v>
      </c>
      <c r="D73">
        <v>17.16</v>
      </c>
      <c r="E73">
        <v>38.04</v>
      </c>
    </row>
    <row r="74" spans="1:5" x14ac:dyDescent="0.3">
      <c r="A74" t="s">
        <v>96</v>
      </c>
      <c r="B74">
        <v>10.56</v>
      </c>
      <c r="C74">
        <v>32.159999999999997</v>
      </c>
      <c r="D74">
        <v>39.6</v>
      </c>
      <c r="E74">
        <v>23.16</v>
      </c>
    </row>
    <row r="75" spans="1:5" x14ac:dyDescent="0.3">
      <c r="A75" t="s">
        <v>97</v>
      </c>
      <c r="B75">
        <v>13.2</v>
      </c>
      <c r="C75">
        <v>155.28</v>
      </c>
      <c r="D75">
        <v>6.84</v>
      </c>
      <c r="E75">
        <v>37.56</v>
      </c>
    </row>
    <row r="76" spans="1:5" x14ac:dyDescent="0.3">
      <c r="A76" t="s">
        <v>98</v>
      </c>
      <c r="B76">
        <v>20.399999999999999</v>
      </c>
      <c r="C76">
        <v>256.08</v>
      </c>
      <c r="D76">
        <v>29.52</v>
      </c>
      <c r="E76">
        <v>15.72</v>
      </c>
    </row>
    <row r="77" spans="1:5" x14ac:dyDescent="0.3">
      <c r="A77" t="s">
        <v>99</v>
      </c>
      <c r="B77">
        <v>10.44</v>
      </c>
      <c r="C77">
        <v>20.28</v>
      </c>
      <c r="D77">
        <v>52.44</v>
      </c>
      <c r="E77">
        <v>107.28</v>
      </c>
    </row>
    <row r="78" spans="1:5" x14ac:dyDescent="0.3">
      <c r="A78" t="s">
        <v>100</v>
      </c>
      <c r="B78">
        <v>8.2799999999999994</v>
      </c>
      <c r="C78">
        <v>33</v>
      </c>
      <c r="D78">
        <v>1.92</v>
      </c>
      <c r="E78">
        <v>24.84</v>
      </c>
    </row>
    <row r="79" spans="1:5" x14ac:dyDescent="0.3">
      <c r="A79" t="s">
        <v>101</v>
      </c>
      <c r="B79">
        <v>17.04</v>
      </c>
      <c r="C79">
        <v>144.6</v>
      </c>
      <c r="D79">
        <v>34.200000000000003</v>
      </c>
      <c r="E79">
        <v>17.04</v>
      </c>
    </row>
    <row r="80" spans="1:5" x14ac:dyDescent="0.3">
      <c r="A80" t="s">
        <v>102</v>
      </c>
      <c r="B80">
        <v>6.36</v>
      </c>
      <c r="C80">
        <v>6.48</v>
      </c>
      <c r="D80">
        <v>35.880000000000003</v>
      </c>
      <c r="E80">
        <v>11.28</v>
      </c>
    </row>
    <row r="81" spans="1:5" x14ac:dyDescent="0.3">
      <c r="A81" t="s">
        <v>103</v>
      </c>
      <c r="B81">
        <v>13.2</v>
      </c>
      <c r="C81">
        <v>139.19999999999999</v>
      </c>
      <c r="D81">
        <v>9.24</v>
      </c>
      <c r="E81">
        <v>27.72</v>
      </c>
    </row>
    <row r="82" spans="1:5" x14ac:dyDescent="0.3">
      <c r="A82" t="s">
        <v>104</v>
      </c>
      <c r="B82">
        <v>14.16</v>
      </c>
      <c r="C82">
        <v>91.68</v>
      </c>
      <c r="D82">
        <v>32.04</v>
      </c>
      <c r="E82">
        <v>26.76</v>
      </c>
    </row>
    <row r="83" spans="1:5" x14ac:dyDescent="0.3">
      <c r="A83" t="s">
        <v>105</v>
      </c>
      <c r="B83">
        <v>14.76</v>
      </c>
      <c r="C83">
        <v>287.76</v>
      </c>
      <c r="D83">
        <v>4.92</v>
      </c>
      <c r="E83">
        <v>44.28</v>
      </c>
    </row>
    <row r="84" spans="1:5" x14ac:dyDescent="0.3">
      <c r="A84" t="s">
        <v>106</v>
      </c>
      <c r="B84">
        <v>13.56</v>
      </c>
      <c r="C84">
        <v>90.36</v>
      </c>
      <c r="D84">
        <v>24.36</v>
      </c>
      <c r="E84">
        <v>39</v>
      </c>
    </row>
    <row r="85" spans="1:5" x14ac:dyDescent="0.3">
      <c r="A85" t="s">
        <v>107</v>
      </c>
      <c r="B85">
        <v>16.32</v>
      </c>
      <c r="C85">
        <v>82.08</v>
      </c>
      <c r="D85">
        <v>53.4</v>
      </c>
      <c r="E85">
        <v>42.72</v>
      </c>
    </row>
    <row r="86" spans="1:5" x14ac:dyDescent="0.3">
      <c r="A86" t="s">
        <v>108</v>
      </c>
      <c r="B86">
        <v>26.04</v>
      </c>
      <c r="C86">
        <v>256.2</v>
      </c>
      <c r="D86">
        <v>51.6</v>
      </c>
      <c r="E86">
        <v>40.56</v>
      </c>
    </row>
    <row r="87" spans="1:5" x14ac:dyDescent="0.3">
      <c r="A87" t="s">
        <v>109</v>
      </c>
      <c r="B87">
        <v>18.239999999999998</v>
      </c>
      <c r="C87">
        <v>231.84</v>
      </c>
      <c r="D87">
        <v>22.08</v>
      </c>
      <c r="E87">
        <v>78.84</v>
      </c>
    </row>
    <row r="88" spans="1:5" x14ac:dyDescent="0.3">
      <c r="A88" t="s">
        <v>110</v>
      </c>
      <c r="B88">
        <v>14.4</v>
      </c>
      <c r="C88">
        <v>91.56</v>
      </c>
      <c r="D88">
        <v>33</v>
      </c>
      <c r="E88">
        <v>19.2</v>
      </c>
    </row>
    <row r="89" spans="1:5" x14ac:dyDescent="0.3">
      <c r="A89" t="s">
        <v>111</v>
      </c>
      <c r="B89">
        <v>19.2</v>
      </c>
      <c r="C89">
        <v>132.84</v>
      </c>
      <c r="D89">
        <v>48.72</v>
      </c>
      <c r="E89">
        <v>75.84</v>
      </c>
    </row>
    <row r="90" spans="1:5" x14ac:dyDescent="0.3">
      <c r="A90" t="s">
        <v>112</v>
      </c>
      <c r="B90">
        <v>15.48</v>
      </c>
      <c r="C90">
        <v>105.96</v>
      </c>
      <c r="D90">
        <v>30.6</v>
      </c>
      <c r="E90">
        <v>88.08</v>
      </c>
    </row>
    <row r="91" spans="1:5" x14ac:dyDescent="0.3">
      <c r="A91" t="s">
        <v>113</v>
      </c>
      <c r="B91">
        <v>20.04</v>
      </c>
      <c r="C91">
        <v>131.76</v>
      </c>
      <c r="D91">
        <v>57.36</v>
      </c>
      <c r="E91">
        <v>61.68</v>
      </c>
    </row>
    <row r="92" spans="1:5" x14ac:dyDescent="0.3">
      <c r="A92" t="s">
        <v>114</v>
      </c>
      <c r="B92">
        <v>13.44</v>
      </c>
      <c r="C92">
        <v>161.16</v>
      </c>
      <c r="D92">
        <v>5.88</v>
      </c>
      <c r="E92">
        <v>11.16</v>
      </c>
    </row>
    <row r="93" spans="1:5" x14ac:dyDescent="0.3">
      <c r="A93" t="s">
        <v>115</v>
      </c>
      <c r="B93">
        <v>8.76</v>
      </c>
      <c r="C93">
        <v>34.32</v>
      </c>
      <c r="D93">
        <v>1.8</v>
      </c>
      <c r="E93">
        <v>39.6</v>
      </c>
    </row>
    <row r="94" spans="1:5" x14ac:dyDescent="0.3">
      <c r="A94" t="s">
        <v>116</v>
      </c>
      <c r="B94">
        <v>23.28</v>
      </c>
      <c r="C94">
        <v>261.24</v>
      </c>
      <c r="D94">
        <v>40.200000000000003</v>
      </c>
      <c r="E94">
        <v>70.8</v>
      </c>
    </row>
    <row r="95" spans="1:5" x14ac:dyDescent="0.3">
      <c r="A95" t="s">
        <v>117</v>
      </c>
      <c r="B95">
        <v>26.64</v>
      </c>
      <c r="C95">
        <v>301.08</v>
      </c>
      <c r="D95">
        <v>43.8</v>
      </c>
      <c r="E95">
        <v>86.76</v>
      </c>
    </row>
    <row r="96" spans="1:5" x14ac:dyDescent="0.3">
      <c r="A96" t="s">
        <v>118</v>
      </c>
      <c r="B96">
        <v>13.8</v>
      </c>
      <c r="C96">
        <v>128.88</v>
      </c>
      <c r="D96">
        <v>16.8</v>
      </c>
      <c r="E96">
        <v>13.08</v>
      </c>
    </row>
    <row r="97" spans="1:5" x14ac:dyDescent="0.3">
      <c r="A97" t="s">
        <v>119</v>
      </c>
      <c r="B97">
        <v>20.28</v>
      </c>
      <c r="C97">
        <v>195.96</v>
      </c>
      <c r="D97">
        <v>37.92</v>
      </c>
      <c r="E97">
        <v>63.48</v>
      </c>
    </row>
    <row r="98" spans="1:5" x14ac:dyDescent="0.3">
      <c r="A98" t="s">
        <v>120</v>
      </c>
      <c r="B98">
        <v>14.04</v>
      </c>
      <c r="C98">
        <v>237.12</v>
      </c>
      <c r="D98">
        <v>4.2</v>
      </c>
      <c r="E98">
        <v>7.08</v>
      </c>
    </row>
    <row r="99" spans="1:5" x14ac:dyDescent="0.3">
      <c r="A99" t="s">
        <v>121</v>
      </c>
      <c r="B99">
        <v>18.600000000000001</v>
      </c>
      <c r="C99">
        <v>221.88</v>
      </c>
      <c r="D99">
        <v>25.2</v>
      </c>
      <c r="E99">
        <v>26.4</v>
      </c>
    </row>
    <row r="100" spans="1:5" x14ac:dyDescent="0.3">
      <c r="A100" t="s">
        <v>122</v>
      </c>
      <c r="B100">
        <v>30.48</v>
      </c>
      <c r="C100">
        <v>347.64</v>
      </c>
      <c r="D100">
        <v>50.76</v>
      </c>
      <c r="E100">
        <v>61.44</v>
      </c>
    </row>
    <row r="101" spans="1:5" x14ac:dyDescent="0.3">
      <c r="A101" t="s">
        <v>123</v>
      </c>
      <c r="B101">
        <v>20.64</v>
      </c>
      <c r="C101">
        <v>162.24</v>
      </c>
      <c r="D101">
        <v>50.04</v>
      </c>
      <c r="E101">
        <v>55.08</v>
      </c>
    </row>
    <row r="102" spans="1:5" x14ac:dyDescent="0.3">
      <c r="A102" t="s">
        <v>124</v>
      </c>
      <c r="B102">
        <v>14.04</v>
      </c>
      <c r="C102">
        <v>266.88</v>
      </c>
      <c r="D102">
        <v>5.16</v>
      </c>
      <c r="E102">
        <v>59.76</v>
      </c>
    </row>
    <row r="103" spans="1:5" x14ac:dyDescent="0.3">
      <c r="A103" t="s">
        <v>125</v>
      </c>
      <c r="B103">
        <v>28.56</v>
      </c>
      <c r="C103">
        <v>355.68</v>
      </c>
      <c r="D103">
        <v>43.56</v>
      </c>
      <c r="E103">
        <v>121.08</v>
      </c>
    </row>
    <row r="104" spans="1:5" x14ac:dyDescent="0.3">
      <c r="A104" t="s">
        <v>126</v>
      </c>
      <c r="B104">
        <v>17.760000000000002</v>
      </c>
      <c r="C104">
        <v>336.24</v>
      </c>
      <c r="D104">
        <v>12.12</v>
      </c>
      <c r="E104">
        <v>25.68</v>
      </c>
    </row>
    <row r="105" spans="1:5" x14ac:dyDescent="0.3">
      <c r="A105" t="s">
        <v>127</v>
      </c>
      <c r="B105">
        <v>17.64</v>
      </c>
      <c r="C105">
        <v>225.48</v>
      </c>
      <c r="D105">
        <v>20.64</v>
      </c>
      <c r="E105">
        <v>21.48</v>
      </c>
    </row>
    <row r="106" spans="1:5" x14ac:dyDescent="0.3">
      <c r="A106" t="s">
        <v>128</v>
      </c>
      <c r="B106">
        <v>24.84</v>
      </c>
      <c r="C106">
        <v>285.83999999999997</v>
      </c>
      <c r="D106">
        <v>41.16</v>
      </c>
      <c r="E106">
        <v>6.36</v>
      </c>
    </row>
    <row r="107" spans="1:5" x14ac:dyDescent="0.3">
      <c r="A107" t="s">
        <v>129</v>
      </c>
      <c r="B107">
        <v>23.04</v>
      </c>
      <c r="C107">
        <v>165.48</v>
      </c>
      <c r="D107">
        <v>55.68</v>
      </c>
      <c r="E107">
        <v>70.8</v>
      </c>
    </row>
    <row r="108" spans="1:5" x14ac:dyDescent="0.3">
      <c r="A108" t="s">
        <v>130</v>
      </c>
      <c r="B108">
        <v>8.64</v>
      </c>
      <c r="C108">
        <v>30</v>
      </c>
      <c r="D108">
        <v>13.2</v>
      </c>
      <c r="E108">
        <v>35.64</v>
      </c>
    </row>
    <row r="109" spans="1:5" x14ac:dyDescent="0.3">
      <c r="A109" t="s">
        <v>131</v>
      </c>
      <c r="B109">
        <v>10.44</v>
      </c>
      <c r="C109">
        <v>108.48</v>
      </c>
      <c r="D109">
        <v>0.36</v>
      </c>
      <c r="E109">
        <v>27.84</v>
      </c>
    </row>
    <row r="110" spans="1:5" x14ac:dyDescent="0.3">
      <c r="A110" t="s">
        <v>132</v>
      </c>
      <c r="B110">
        <v>6.36</v>
      </c>
      <c r="C110">
        <v>15.72</v>
      </c>
      <c r="D110">
        <v>0.48</v>
      </c>
      <c r="E110">
        <v>30.72</v>
      </c>
    </row>
    <row r="111" spans="1:5" x14ac:dyDescent="0.3">
      <c r="A111" t="s">
        <v>133</v>
      </c>
      <c r="B111">
        <v>23.76</v>
      </c>
      <c r="C111">
        <v>306.48</v>
      </c>
      <c r="D111">
        <v>32.28</v>
      </c>
      <c r="E111">
        <v>6.6</v>
      </c>
    </row>
    <row r="112" spans="1:5" x14ac:dyDescent="0.3">
      <c r="A112" t="s">
        <v>134</v>
      </c>
      <c r="B112">
        <v>16.079999999999998</v>
      </c>
      <c r="C112">
        <v>270.95999999999998</v>
      </c>
      <c r="D112">
        <v>9.84</v>
      </c>
      <c r="E112">
        <v>67.8</v>
      </c>
    </row>
    <row r="113" spans="1:5" x14ac:dyDescent="0.3">
      <c r="A113" t="s">
        <v>135</v>
      </c>
      <c r="B113">
        <v>26.16</v>
      </c>
      <c r="C113">
        <v>290.04000000000002</v>
      </c>
      <c r="D113">
        <v>45.6</v>
      </c>
      <c r="E113">
        <v>27.84</v>
      </c>
    </row>
    <row r="114" spans="1:5" x14ac:dyDescent="0.3">
      <c r="A114" t="s">
        <v>136</v>
      </c>
      <c r="B114">
        <v>16.920000000000002</v>
      </c>
      <c r="C114">
        <v>210.84</v>
      </c>
      <c r="D114">
        <v>18.48</v>
      </c>
      <c r="E114">
        <v>2.88</v>
      </c>
    </row>
    <row r="115" spans="1:5" x14ac:dyDescent="0.3">
      <c r="A115" t="s">
        <v>137</v>
      </c>
      <c r="B115">
        <v>19.079999999999998</v>
      </c>
      <c r="C115">
        <v>251.52</v>
      </c>
      <c r="D115">
        <v>24.72</v>
      </c>
      <c r="E115">
        <v>12.84</v>
      </c>
    </row>
    <row r="116" spans="1:5" x14ac:dyDescent="0.3">
      <c r="A116" t="s">
        <v>138</v>
      </c>
      <c r="B116">
        <v>17.52</v>
      </c>
      <c r="C116">
        <v>93.84</v>
      </c>
      <c r="D116">
        <v>56.16</v>
      </c>
      <c r="E116">
        <v>41.4</v>
      </c>
    </row>
    <row r="117" spans="1:5" x14ac:dyDescent="0.3">
      <c r="A117" t="s">
        <v>139</v>
      </c>
      <c r="B117">
        <v>15.12</v>
      </c>
      <c r="C117">
        <v>90.12</v>
      </c>
      <c r="D117">
        <v>42</v>
      </c>
      <c r="E117">
        <v>63.24</v>
      </c>
    </row>
    <row r="118" spans="1:5" x14ac:dyDescent="0.3">
      <c r="A118" t="s">
        <v>140</v>
      </c>
      <c r="B118">
        <v>14.64</v>
      </c>
      <c r="C118">
        <v>167.04</v>
      </c>
      <c r="D118">
        <v>17.16</v>
      </c>
      <c r="E118">
        <v>30.72</v>
      </c>
    </row>
    <row r="119" spans="1:5" x14ac:dyDescent="0.3">
      <c r="A119" t="s">
        <v>141</v>
      </c>
      <c r="B119">
        <v>11.28</v>
      </c>
      <c r="C119">
        <v>91.68</v>
      </c>
      <c r="D119">
        <v>0.96</v>
      </c>
      <c r="E119">
        <v>17.760000000000002</v>
      </c>
    </row>
    <row r="120" spans="1:5" x14ac:dyDescent="0.3">
      <c r="A120" t="s">
        <v>142</v>
      </c>
      <c r="B120">
        <v>19.079999999999998</v>
      </c>
      <c r="C120">
        <v>150.84</v>
      </c>
      <c r="D120">
        <v>44.28</v>
      </c>
      <c r="E120">
        <v>95.04</v>
      </c>
    </row>
    <row r="121" spans="1:5" x14ac:dyDescent="0.3">
      <c r="A121" t="s">
        <v>143</v>
      </c>
      <c r="B121">
        <v>7.92</v>
      </c>
      <c r="C121">
        <v>23.28</v>
      </c>
      <c r="D121">
        <v>19.2</v>
      </c>
      <c r="E121">
        <v>26.76</v>
      </c>
    </row>
    <row r="122" spans="1:5" x14ac:dyDescent="0.3">
      <c r="A122" t="s">
        <v>144</v>
      </c>
      <c r="B122">
        <v>18.600000000000001</v>
      </c>
      <c r="C122">
        <v>169.56</v>
      </c>
      <c r="D122">
        <v>32.159999999999997</v>
      </c>
      <c r="E122">
        <v>55.44</v>
      </c>
    </row>
    <row r="123" spans="1:5" x14ac:dyDescent="0.3">
      <c r="A123" t="s">
        <v>145</v>
      </c>
      <c r="B123">
        <v>8.4</v>
      </c>
      <c r="C123">
        <v>22.56</v>
      </c>
      <c r="D123">
        <v>26.04</v>
      </c>
      <c r="E123">
        <v>60.48</v>
      </c>
    </row>
    <row r="124" spans="1:5" x14ac:dyDescent="0.3">
      <c r="A124" t="s">
        <v>146</v>
      </c>
      <c r="B124">
        <v>13.92</v>
      </c>
      <c r="C124">
        <v>268.8</v>
      </c>
      <c r="D124">
        <v>2.88</v>
      </c>
      <c r="E124">
        <v>18.72</v>
      </c>
    </row>
    <row r="125" spans="1:5" x14ac:dyDescent="0.3">
      <c r="A125" t="s">
        <v>147</v>
      </c>
      <c r="B125">
        <v>18.239999999999998</v>
      </c>
      <c r="C125">
        <v>147.72</v>
      </c>
      <c r="D125">
        <v>41.52</v>
      </c>
      <c r="E125">
        <v>14.88</v>
      </c>
    </row>
    <row r="126" spans="1:5" x14ac:dyDescent="0.3">
      <c r="A126" t="s">
        <v>148</v>
      </c>
      <c r="B126">
        <v>23.64</v>
      </c>
      <c r="C126">
        <v>275.39999999999998</v>
      </c>
      <c r="D126">
        <v>38.76</v>
      </c>
      <c r="E126">
        <v>89.04</v>
      </c>
    </row>
    <row r="127" spans="1:5" x14ac:dyDescent="0.3">
      <c r="A127" t="s">
        <v>149</v>
      </c>
      <c r="B127">
        <v>12.72</v>
      </c>
      <c r="C127">
        <v>104.64</v>
      </c>
      <c r="D127">
        <v>14.16</v>
      </c>
      <c r="E127">
        <v>31.08</v>
      </c>
    </row>
    <row r="128" spans="1:5" x14ac:dyDescent="0.3">
      <c r="A128" t="s">
        <v>150</v>
      </c>
      <c r="B128">
        <v>7.92</v>
      </c>
      <c r="C128">
        <v>9.36</v>
      </c>
      <c r="D128">
        <v>46.68</v>
      </c>
      <c r="E128">
        <v>60.72</v>
      </c>
    </row>
    <row r="129" spans="1:5" x14ac:dyDescent="0.3">
      <c r="A129" t="s">
        <v>151</v>
      </c>
      <c r="B129">
        <v>10.56</v>
      </c>
      <c r="C129">
        <v>96.24</v>
      </c>
      <c r="D129">
        <v>0</v>
      </c>
      <c r="E129">
        <v>11.04</v>
      </c>
    </row>
    <row r="130" spans="1:5" x14ac:dyDescent="0.3">
      <c r="A130" t="s">
        <v>152</v>
      </c>
      <c r="B130">
        <v>29.64</v>
      </c>
      <c r="C130">
        <v>264.36</v>
      </c>
      <c r="D130">
        <v>58.8</v>
      </c>
      <c r="E130">
        <v>3.84</v>
      </c>
    </row>
    <row r="131" spans="1:5" x14ac:dyDescent="0.3">
      <c r="A131" t="s">
        <v>153</v>
      </c>
      <c r="B131">
        <v>11.64</v>
      </c>
      <c r="C131">
        <v>71.52</v>
      </c>
      <c r="D131">
        <v>14.4</v>
      </c>
      <c r="E131">
        <v>51.72</v>
      </c>
    </row>
    <row r="132" spans="1:5" x14ac:dyDescent="0.3">
      <c r="A132" t="s">
        <v>154</v>
      </c>
      <c r="B132">
        <v>1.92</v>
      </c>
      <c r="C132">
        <v>0.84</v>
      </c>
      <c r="D132">
        <v>47.52</v>
      </c>
      <c r="E132">
        <v>10.44</v>
      </c>
    </row>
    <row r="133" spans="1:5" x14ac:dyDescent="0.3">
      <c r="A133" t="s">
        <v>155</v>
      </c>
      <c r="B133">
        <v>15.24</v>
      </c>
      <c r="C133">
        <v>318.24</v>
      </c>
      <c r="D133">
        <v>3.48</v>
      </c>
      <c r="E133">
        <v>51.6</v>
      </c>
    </row>
    <row r="134" spans="1:5" x14ac:dyDescent="0.3">
      <c r="A134" t="s">
        <v>156</v>
      </c>
      <c r="B134">
        <v>6.84</v>
      </c>
      <c r="C134">
        <v>10.08</v>
      </c>
      <c r="D134">
        <v>32.64</v>
      </c>
      <c r="E134">
        <v>2.52</v>
      </c>
    </row>
    <row r="135" spans="1:5" x14ac:dyDescent="0.3">
      <c r="A135" t="s">
        <v>157</v>
      </c>
      <c r="B135">
        <v>23.52</v>
      </c>
      <c r="C135">
        <v>263.76</v>
      </c>
      <c r="D135">
        <v>40.200000000000003</v>
      </c>
      <c r="E135">
        <v>54.12</v>
      </c>
    </row>
    <row r="136" spans="1:5" x14ac:dyDescent="0.3">
      <c r="A136" t="s">
        <v>158</v>
      </c>
      <c r="B136">
        <v>12.96</v>
      </c>
      <c r="C136">
        <v>44.28</v>
      </c>
      <c r="D136">
        <v>46.32</v>
      </c>
      <c r="E136">
        <v>78.72</v>
      </c>
    </row>
    <row r="137" spans="1:5" x14ac:dyDescent="0.3">
      <c r="A137" t="s">
        <v>159</v>
      </c>
      <c r="B137">
        <v>13.92</v>
      </c>
      <c r="C137">
        <v>57.96</v>
      </c>
      <c r="D137">
        <v>56.4</v>
      </c>
      <c r="E137">
        <v>10.199999999999999</v>
      </c>
    </row>
    <row r="138" spans="1:5" x14ac:dyDescent="0.3">
      <c r="A138" t="s">
        <v>160</v>
      </c>
      <c r="B138">
        <v>11.4</v>
      </c>
      <c r="C138">
        <v>30.72</v>
      </c>
      <c r="D138">
        <v>46.8</v>
      </c>
      <c r="E138">
        <v>11.16</v>
      </c>
    </row>
    <row r="139" spans="1:5" x14ac:dyDescent="0.3">
      <c r="A139" t="s">
        <v>161</v>
      </c>
      <c r="B139">
        <v>24.96</v>
      </c>
      <c r="C139">
        <v>328.44</v>
      </c>
      <c r="D139">
        <v>34.68</v>
      </c>
      <c r="E139">
        <v>71.64</v>
      </c>
    </row>
    <row r="140" spans="1:5" x14ac:dyDescent="0.3">
      <c r="A140" t="s">
        <v>162</v>
      </c>
      <c r="B140">
        <v>11.52</v>
      </c>
      <c r="C140">
        <v>51.6</v>
      </c>
      <c r="D140">
        <v>31.08</v>
      </c>
      <c r="E140">
        <v>24.6</v>
      </c>
    </row>
    <row r="141" spans="1:5" x14ac:dyDescent="0.3">
      <c r="A141" t="s">
        <v>163</v>
      </c>
      <c r="B141">
        <v>24.84</v>
      </c>
      <c r="C141">
        <v>221.88</v>
      </c>
      <c r="D141">
        <v>52.68</v>
      </c>
      <c r="E141">
        <v>2.04</v>
      </c>
    </row>
    <row r="142" spans="1:5" x14ac:dyDescent="0.3">
      <c r="A142" t="s">
        <v>164</v>
      </c>
      <c r="B142">
        <v>13.08</v>
      </c>
      <c r="C142">
        <v>88.08</v>
      </c>
      <c r="D142">
        <v>20.399999999999999</v>
      </c>
      <c r="E142">
        <v>15.48</v>
      </c>
    </row>
    <row r="143" spans="1:5" x14ac:dyDescent="0.3">
      <c r="A143" t="s">
        <v>165</v>
      </c>
      <c r="B143">
        <v>23.04</v>
      </c>
      <c r="C143">
        <v>232.44</v>
      </c>
      <c r="D143">
        <v>42.48</v>
      </c>
      <c r="E143">
        <v>90.72</v>
      </c>
    </row>
    <row r="144" spans="1:5" x14ac:dyDescent="0.3">
      <c r="A144" t="s">
        <v>166</v>
      </c>
      <c r="B144">
        <v>24.12</v>
      </c>
      <c r="C144">
        <v>264.60000000000002</v>
      </c>
      <c r="D144">
        <v>39.840000000000003</v>
      </c>
      <c r="E144">
        <v>45.48</v>
      </c>
    </row>
    <row r="145" spans="1:5" x14ac:dyDescent="0.3">
      <c r="A145" t="s">
        <v>167</v>
      </c>
      <c r="B145">
        <v>12.48</v>
      </c>
      <c r="C145">
        <v>125.52</v>
      </c>
      <c r="D145">
        <v>6.84</v>
      </c>
      <c r="E145">
        <v>41.28</v>
      </c>
    </row>
    <row r="146" spans="1:5" x14ac:dyDescent="0.3">
      <c r="A146" t="s">
        <v>168</v>
      </c>
      <c r="B146">
        <v>13.68</v>
      </c>
      <c r="C146">
        <v>115.44</v>
      </c>
      <c r="D146">
        <v>17.760000000000002</v>
      </c>
      <c r="E146">
        <v>46.68</v>
      </c>
    </row>
    <row r="147" spans="1:5" x14ac:dyDescent="0.3">
      <c r="A147" t="s">
        <v>169</v>
      </c>
      <c r="B147">
        <v>12.36</v>
      </c>
      <c r="C147">
        <v>168.36</v>
      </c>
      <c r="D147">
        <v>2.2799999999999998</v>
      </c>
      <c r="E147">
        <v>10.8</v>
      </c>
    </row>
    <row r="148" spans="1:5" x14ac:dyDescent="0.3">
      <c r="A148" t="s">
        <v>170</v>
      </c>
      <c r="B148">
        <v>15.84</v>
      </c>
      <c r="C148">
        <v>288.12</v>
      </c>
      <c r="D148">
        <v>8.76</v>
      </c>
      <c r="E148">
        <v>10.44</v>
      </c>
    </row>
    <row r="149" spans="1:5" x14ac:dyDescent="0.3">
      <c r="A149" t="s">
        <v>171</v>
      </c>
      <c r="B149">
        <v>30.48</v>
      </c>
      <c r="C149">
        <v>291.83999999999997</v>
      </c>
      <c r="D149">
        <v>58.8</v>
      </c>
      <c r="E149">
        <v>53.16</v>
      </c>
    </row>
    <row r="150" spans="1:5" x14ac:dyDescent="0.3">
      <c r="A150" t="s">
        <v>172</v>
      </c>
      <c r="B150">
        <v>13.08</v>
      </c>
      <c r="C150">
        <v>45.6</v>
      </c>
      <c r="D150">
        <v>48.36</v>
      </c>
      <c r="E150">
        <v>14.28</v>
      </c>
    </row>
    <row r="151" spans="1:5" x14ac:dyDescent="0.3">
      <c r="A151" t="s">
        <v>173</v>
      </c>
      <c r="B151">
        <v>12.12</v>
      </c>
      <c r="C151">
        <v>53.64</v>
      </c>
      <c r="D151">
        <v>30.96</v>
      </c>
      <c r="E151">
        <v>24.72</v>
      </c>
    </row>
    <row r="152" spans="1:5" x14ac:dyDescent="0.3">
      <c r="A152" t="s">
        <v>174</v>
      </c>
      <c r="B152">
        <v>19.32</v>
      </c>
      <c r="C152">
        <v>336.84</v>
      </c>
      <c r="D152">
        <v>16.68</v>
      </c>
      <c r="E152">
        <v>44.4</v>
      </c>
    </row>
    <row r="153" spans="1:5" x14ac:dyDescent="0.3">
      <c r="A153" t="s">
        <v>175</v>
      </c>
      <c r="B153">
        <v>13.92</v>
      </c>
      <c r="C153">
        <v>145.19999999999999</v>
      </c>
      <c r="D153">
        <v>10.08</v>
      </c>
      <c r="E153">
        <v>58.44</v>
      </c>
    </row>
    <row r="154" spans="1:5" x14ac:dyDescent="0.3">
      <c r="A154" t="s">
        <v>176</v>
      </c>
      <c r="B154">
        <v>19.920000000000002</v>
      </c>
      <c r="C154">
        <v>237.12</v>
      </c>
      <c r="D154">
        <v>27.96</v>
      </c>
      <c r="E154">
        <v>17.04</v>
      </c>
    </row>
    <row r="155" spans="1:5" x14ac:dyDescent="0.3">
      <c r="A155" t="s">
        <v>177</v>
      </c>
      <c r="B155">
        <v>22.8</v>
      </c>
      <c r="C155">
        <v>205.56</v>
      </c>
      <c r="D155">
        <v>47.64</v>
      </c>
      <c r="E155">
        <v>45.24</v>
      </c>
    </row>
    <row r="156" spans="1:5" x14ac:dyDescent="0.3">
      <c r="A156" t="s">
        <v>178</v>
      </c>
      <c r="B156">
        <v>18.72</v>
      </c>
      <c r="C156">
        <v>225.36</v>
      </c>
      <c r="D156">
        <v>25.32</v>
      </c>
      <c r="E156">
        <v>11.4</v>
      </c>
    </row>
    <row r="157" spans="1:5" x14ac:dyDescent="0.3">
      <c r="A157" t="s">
        <v>179</v>
      </c>
      <c r="B157">
        <v>3.84</v>
      </c>
      <c r="C157">
        <v>4.92</v>
      </c>
      <c r="D157">
        <v>13.92</v>
      </c>
      <c r="E157">
        <v>6.84</v>
      </c>
    </row>
    <row r="158" spans="1:5" x14ac:dyDescent="0.3">
      <c r="A158" t="s">
        <v>180</v>
      </c>
      <c r="B158">
        <v>18.36</v>
      </c>
      <c r="C158">
        <v>112.68</v>
      </c>
      <c r="D158">
        <v>52.2</v>
      </c>
      <c r="E158">
        <v>60.6</v>
      </c>
    </row>
    <row r="159" spans="1:5" x14ac:dyDescent="0.3">
      <c r="A159" t="s">
        <v>181</v>
      </c>
      <c r="B159">
        <v>12.12</v>
      </c>
      <c r="C159">
        <v>179.76</v>
      </c>
      <c r="D159">
        <v>1.56</v>
      </c>
      <c r="E159">
        <v>29.16</v>
      </c>
    </row>
    <row r="160" spans="1:5" x14ac:dyDescent="0.3">
      <c r="A160" t="s">
        <v>182</v>
      </c>
      <c r="B160">
        <v>8.76</v>
      </c>
      <c r="C160">
        <v>14.04</v>
      </c>
      <c r="D160">
        <v>44.28</v>
      </c>
      <c r="E160">
        <v>54.24</v>
      </c>
    </row>
    <row r="161" spans="1:5" x14ac:dyDescent="0.3">
      <c r="A161" t="s">
        <v>183</v>
      </c>
      <c r="B161">
        <v>15.48</v>
      </c>
      <c r="C161">
        <v>158.04</v>
      </c>
      <c r="D161">
        <v>22.08</v>
      </c>
      <c r="E161">
        <v>41.52</v>
      </c>
    </row>
    <row r="162" spans="1:5" x14ac:dyDescent="0.3">
      <c r="A162" t="s">
        <v>184</v>
      </c>
      <c r="B162">
        <v>17.28</v>
      </c>
      <c r="C162">
        <v>207</v>
      </c>
      <c r="D162">
        <v>21.72</v>
      </c>
      <c r="E162">
        <v>36.840000000000003</v>
      </c>
    </row>
    <row r="163" spans="1:5" x14ac:dyDescent="0.3">
      <c r="A163" t="s">
        <v>185</v>
      </c>
      <c r="B163">
        <v>15.96</v>
      </c>
      <c r="C163">
        <v>102.84</v>
      </c>
      <c r="D163">
        <v>42.96</v>
      </c>
      <c r="E163">
        <v>59.16</v>
      </c>
    </row>
    <row r="164" spans="1:5" x14ac:dyDescent="0.3">
      <c r="A164" t="s">
        <v>186</v>
      </c>
      <c r="B164">
        <v>17.88</v>
      </c>
      <c r="C164">
        <v>226.08</v>
      </c>
      <c r="D164">
        <v>21.72</v>
      </c>
      <c r="E164">
        <v>30.72</v>
      </c>
    </row>
    <row r="165" spans="1:5" x14ac:dyDescent="0.3">
      <c r="A165" t="s">
        <v>187</v>
      </c>
      <c r="B165">
        <v>21.6</v>
      </c>
      <c r="C165">
        <v>196.2</v>
      </c>
      <c r="D165">
        <v>44.16</v>
      </c>
      <c r="E165">
        <v>8.8800000000000008</v>
      </c>
    </row>
    <row r="166" spans="1:5" x14ac:dyDescent="0.3">
      <c r="A166" t="s">
        <v>188</v>
      </c>
      <c r="B166">
        <v>14.28</v>
      </c>
      <c r="C166">
        <v>140.63999999999999</v>
      </c>
      <c r="D166">
        <v>17.64</v>
      </c>
      <c r="E166">
        <v>6.48</v>
      </c>
    </row>
    <row r="167" spans="1:5" x14ac:dyDescent="0.3">
      <c r="A167" t="s">
        <v>189</v>
      </c>
      <c r="B167">
        <v>14.28</v>
      </c>
      <c r="C167">
        <v>281.39999999999998</v>
      </c>
      <c r="D167">
        <v>4.08</v>
      </c>
      <c r="E167">
        <v>101.76</v>
      </c>
    </row>
    <row r="168" spans="1:5" x14ac:dyDescent="0.3">
      <c r="A168" t="s">
        <v>190</v>
      </c>
      <c r="B168">
        <v>9.6</v>
      </c>
      <c r="C168">
        <v>21.48</v>
      </c>
      <c r="D168">
        <v>45.12</v>
      </c>
      <c r="E168">
        <v>25.92</v>
      </c>
    </row>
    <row r="169" spans="1:5" x14ac:dyDescent="0.3">
      <c r="A169" t="s">
        <v>191</v>
      </c>
      <c r="B169">
        <v>14.64</v>
      </c>
      <c r="C169">
        <v>248.16</v>
      </c>
      <c r="D169">
        <v>6.24</v>
      </c>
      <c r="E169">
        <v>23.28</v>
      </c>
    </row>
    <row r="170" spans="1:5" x14ac:dyDescent="0.3">
      <c r="A170" t="s">
        <v>192</v>
      </c>
      <c r="B170">
        <v>20.52</v>
      </c>
      <c r="C170">
        <v>258.48</v>
      </c>
      <c r="D170">
        <v>28.32</v>
      </c>
      <c r="E170">
        <v>69.12</v>
      </c>
    </row>
    <row r="171" spans="1:5" x14ac:dyDescent="0.3">
      <c r="A171" t="s">
        <v>193</v>
      </c>
      <c r="B171">
        <v>18</v>
      </c>
      <c r="C171">
        <v>341.16</v>
      </c>
      <c r="D171">
        <v>12.72</v>
      </c>
      <c r="E171">
        <v>7.68</v>
      </c>
    </row>
    <row r="172" spans="1:5" x14ac:dyDescent="0.3">
      <c r="A172" t="s">
        <v>194</v>
      </c>
      <c r="B172">
        <v>10.08</v>
      </c>
      <c r="C172">
        <v>60</v>
      </c>
      <c r="D172">
        <v>13.92</v>
      </c>
      <c r="E172">
        <v>22.08</v>
      </c>
    </row>
    <row r="173" spans="1:5" x14ac:dyDescent="0.3">
      <c r="A173" t="s">
        <v>195</v>
      </c>
      <c r="B173">
        <v>17.399999999999999</v>
      </c>
      <c r="C173">
        <v>197.4</v>
      </c>
      <c r="D173">
        <v>25.08</v>
      </c>
      <c r="E173">
        <v>56.88</v>
      </c>
    </row>
    <row r="174" spans="1:5" x14ac:dyDescent="0.3">
      <c r="A174" t="s">
        <v>196</v>
      </c>
      <c r="B174">
        <v>9.1199999999999992</v>
      </c>
      <c r="C174">
        <v>23.52</v>
      </c>
      <c r="D174">
        <v>24.12</v>
      </c>
      <c r="E174">
        <v>20.399999999999999</v>
      </c>
    </row>
    <row r="175" spans="1:5" x14ac:dyDescent="0.3">
      <c r="A175" t="s">
        <v>197</v>
      </c>
      <c r="B175">
        <v>14.04</v>
      </c>
      <c r="C175">
        <v>202.08</v>
      </c>
      <c r="D175">
        <v>8.52</v>
      </c>
      <c r="E175">
        <v>15.36</v>
      </c>
    </row>
    <row r="176" spans="1:5" x14ac:dyDescent="0.3">
      <c r="A176" t="s">
        <v>198</v>
      </c>
      <c r="B176">
        <v>13.8</v>
      </c>
      <c r="C176">
        <v>266.88</v>
      </c>
      <c r="D176">
        <v>4.08</v>
      </c>
      <c r="E176">
        <v>15.72</v>
      </c>
    </row>
    <row r="177" spans="1:5" x14ac:dyDescent="0.3">
      <c r="A177" t="s">
        <v>199</v>
      </c>
      <c r="B177">
        <v>32.4</v>
      </c>
      <c r="C177">
        <v>332.28</v>
      </c>
      <c r="D177">
        <v>58.68</v>
      </c>
      <c r="E177">
        <v>50.16</v>
      </c>
    </row>
    <row r="178" spans="1:5" x14ac:dyDescent="0.3">
      <c r="A178" t="s">
        <v>200</v>
      </c>
      <c r="B178">
        <v>24.24</v>
      </c>
      <c r="C178">
        <v>298.08</v>
      </c>
      <c r="D178">
        <v>36.24</v>
      </c>
      <c r="E178">
        <v>24.36</v>
      </c>
    </row>
    <row r="179" spans="1:5" x14ac:dyDescent="0.3">
      <c r="A179" t="s">
        <v>201</v>
      </c>
      <c r="B179">
        <v>14.04</v>
      </c>
      <c r="C179">
        <v>204.24</v>
      </c>
      <c r="D179">
        <v>9.36</v>
      </c>
      <c r="E179">
        <v>42.24</v>
      </c>
    </row>
    <row r="180" spans="1:5" x14ac:dyDescent="0.3">
      <c r="A180" t="s">
        <v>202</v>
      </c>
      <c r="B180">
        <v>14.16</v>
      </c>
      <c r="C180">
        <v>332.04</v>
      </c>
      <c r="D180">
        <v>2.76</v>
      </c>
      <c r="E180">
        <v>28.44</v>
      </c>
    </row>
    <row r="181" spans="1:5" x14ac:dyDescent="0.3">
      <c r="A181" t="s">
        <v>203</v>
      </c>
      <c r="B181">
        <v>15.12</v>
      </c>
      <c r="C181">
        <v>198.72</v>
      </c>
      <c r="D181">
        <v>12</v>
      </c>
      <c r="E181">
        <v>21.12</v>
      </c>
    </row>
    <row r="182" spans="1:5" x14ac:dyDescent="0.3">
      <c r="A182" t="s">
        <v>204</v>
      </c>
      <c r="B182">
        <v>12.6</v>
      </c>
      <c r="C182">
        <v>187.92</v>
      </c>
      <c r="D182">
        <v>3.12</v>
      </c>
      <c r="E182">
        <v>9.9600000000000009</v>
      </c>
    </row>
    <row r="183" spans="1:5" x14ac:dyDescent="0.3">
      <c r="A183" t="s">
        <v>205</v>
      </c>
      <c r="B183">
        <v>14.64</v>
      </c>
      <c r="C183">
        <v>262.2</v>
      </c>
      <c r="D183">
        <v>6.48</v>
      </c>
      <c r="E183">
        <v>32.880000000000003</v>
      </c>
    </row>
    <row r="184" spans="1:5" x14ac:dyDescent="0.3">
      <c r="A184" t="s">
        <v>206</v>
      </c>
      <c r="B184">
        <v>10.44</v>
      </c>
      <c r="C184">
        <v>67.44</v>
      </c>
      <c r="D184">
        <v>6.84</v>
      </c>
      <c r="E184">
        <v>35.64</v>
      </c>
    </row>
    <row r="185" spans="1:5" x14ac:dyDescent="0.3">
      <c r="A185" t="s">
        <v>207</v>
      </c>
      <c r="B185">
        <v>31.44</v>
      </c>
      <c r="C185">
        <v>345.12</v>
      </c>
      <c r="D185">
        <v>51.6</v>
      </c>
      <c r="E185">
        <v>86.16</v>
      </c>
    </row>
    <row r="186" spans="1:5" x14ac:dyDescent="0.3">
      <c r="A186" t="s">
        <v>208</v>
      </c>
      <c r="B186">
        <v>21.12</v>
      </c>
      <c r="C186">
        <v>304.56</v>
      </c>
      <c r="D186">
        <v>25.56</v>
      </c>
      <c r="E186">
        <v>36</v>
      </c>
    </row>
    <row r="187" spans="1:5" x14ac:dyDescent="0.3">
      <c r="A187" t="s">
        <v>209</v>
      </c>
      <c r="B187">
        <v>27.12</v>
      </c>
      <c r="C187">
        <v>246</v>
      </c>
      <c r="D187">
        <v>54.12</v>
      </c>
      <c r="E187">
        <v>23.52</v>
      </c>
    </row>
    <row r="188" spans="1:5" x14ac:dyDescent="0.3">
      <c r="A188" t="s">
        <v>210</v>
      </c>
      <c r="B188">
        <v>12.36</v>
      </c>
      <c r="C188">
        <v>167.4</v>
      </c>
      <c r="D188">
        <v>2.52</v>
      </c>
      <c r="E188">
        <v>31.92</v>
      </c>
    </row>
    <row r="189" spans="1:5" x14ac:dyDescent="0.3">
      <c r="A189" t="s">
        <v>211</v>
      </c>
      <c r="B189">
        <v>20.76</v>
      </c>
      <c r="C189">
        <v>229.32</v>
      </c>
      <c r="D189">
        <v>34.44</v>
      </c>
      <c r="E189">
        <v>21.84</v>
      </c>
    </row>
    <row r="190" spans="1:5" x14ac:dyDescent="0.3">
      <c r="A190" t="s">
        <v>212</v>
      </c>
      <c r="B190">
        <v>19.079999999999998</v>
      </c>
      <c r="C190">
        <v>343.2</v>
      </c>
      <c r="D190">
        <v>16.68</v>
      </c>
      <c r="E190">
        <v>4.4400000000000004</v>
      </c>
    </row>
    <row r="191" spans="1:5" x14ac:dyDescent="0.3">
      <c r="A191" t="s">
        <v>213</v>
      </c>
      <c r="B191">
        <v>8.0399999999999991</v>
      </c>
      <c r="C191">
        <v>22.44</v>
      </c>
      <c r="D191">
        <v>14.52</v>
      </c>
      <c r="E191">
        <v>28.08</v>
      </c>
    </row>
    <row r="192" spans="1:5" x14ac:dyDescent="0.3">
      <c r="A192" t="s">
        <v>214</v>
      </c>
      <c r="B192">
        <v>12.96</v>
      </c>
      <c r="C192">
        <v>47.4</v>
      </c>
      <c r="D192">
        <v>49.32</v>
      </c>
      <c r="E192">
        <v>6.96</v>
      </c>
    </row>
    <row r="193" spans="1:5" x14ac:dyDescent="0.3">
      <c r="A193" t="s">
        <v>215</v>
      </c>
      <c r="B193">
        <v>11.88</v>
      </c>
      <c r="C193">
        <v>90.6</v>
      </c>
      <c r="D193">
        <v>12.96</v>
      </c>
      <c r="E193">
        <v>7.2</v>
      </c>
    </row>
    <row r="194" spans="1:5" x14ac:dyDescent="0.3">
      <c r="A194" t="s">
        <v>216</v>
      </c>
      <c r="B194">
        <v>7.08</v>
      </c>
      <c r="C194">
        <v>20.64</v>
      </c>
      <c r="D194">
        <v>4.92</v>
      </c>
      <c r="E194">
        <v>37.92</v>
      </c>
    </row>
    <row r="195" spans="1:5" x14ac:dyDescent="0.3">
      <c r="A195" t="s">
        <v>217</v>
      </c>
      <c r="B195">
        <v>23.52</v>
      </c>
      <c r="C195">
        <v>200.16</v>
      </c>
      <c r="D195">
        <v>50.4</v>
      </c>
      <c r="E195">
        <v>4.32</v>
      </c>
    </row>
    <row r="196" spans="1:5" x14ac:dyDescent="0.3">
      <c r="A196" t="s">
        <v>218</v>
      </c>
      <c r="B196">
        <v>20.76</v>
      </c>
      <c r="C196">
        <v>179.64</v>
      </c>
      <c r="D196">
        <v>42.72</v>
      </c>
      <c r="E196">
        <v>7.2</v>
      </c>
    </row>
    <row r="197" spans="1:5" x14ac:dyDescent="0.3">
      <c r="A197" t="s">
        <v>219</v>
      </c>
      <c r="B197">
        <v>9.1199999999999992</v>
      </c>
      <c r="C197">
        <v>45.84</v>
      </c>
      <c r="D197">
        <v>4.4400000000000004</v>
      </c>
      <c r="E197">
        <v>16.559999999999999</v>
      </c>
    </row>
    <row r="198" spans="1:5" x14ac:dyDescent="0.3">
      <c r="A198" t="s">
        <v>220</v>
      </c>
      <c r="B198">
        <v>11.64</v>
      </c>
      <c r="C198">
        <v>113.04</v>
      </c>
      <c r="D198">
        <v>5.88</v>
      </c>
      <c r="E198">
        <v>9.7200000000000006</v>
      </c>
    </row>
    <row r="199" spans="1:5" x14ac:dyDescent="0.3">
      <c r="A199" t="s">
        <v>221</v>
      </c>
      <c r="B199">
        <v>15.36</v>
      </c>
      <c r="C199">
        <v>212.4</v>
      </c>
      <c r="D199">
        <v>11.16</v>
      </c>
      <c r="E199">
        <v>7.68</v>
      </c>
    </row>
    <row r="200" spans="1:5" x14ac:dyDescent="0.3">
      <c r="A200" t="s">
        <v>222</v>
      </c>
      <c r="B200">
        <v>30.6</v>
      </c>
      <c r="C200">
        <v>340.32</v>
      </c>
      <c r="D200">
        <v>50.4</v>
      </c>
      <c r="E200">
        <v>79.44</v>
      </c>
    </row>
    <row r="201" spans="1:5" x14ac:dyDescent="0.3">
      <c r="A201" t="s">
        <v>223</v>
      </c>
      <c r="B201">
        <v>16.079999999999998</v>
      </c>
      <c r="C201">
        <v>278.52</v>
      </c>
      <c r="D201">
        <v>10.32</v>
      </c>
      <c r="E201">
        <v>10.44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F0B3-16AF-4249-97B5-1D5CEC62F721}">
  <dimension ref="A1:H204"/>
  <sheetViews>
    <sheetView zoomScale="120" zoomScaleNormal="120" workbookViewId="0">
      <selection activeCell="C7" sqref="C7"/>
    </sheetView>
  </sheetViews>
  <sheetFormatPr defaultRowHeight="16.5" x14ac:dyDescent="0.3"/>
  <cols>
    <col min="1" max="1" width="9.5546875" bestFit="1" customWidth="1"/>
    <col min="2" max="4" width="12" bestFit="1" customWidth="1"/>
    <col min="5" max="5" width="12.5546875" bestFit="1" customWidth="1"/>
    <col min="6" max="6" width="12.88671875" bestFit="1" customWidth="1"/>
    <col min="7" max="7" width="6" bestFit="1" customWidth="1"/>
    <col min="8" max="8" width="13.77734375" bestFit="1" customWidth="1"/>
    <col min="9" max="9" width="5.6640625" customWidth="1"/>
    <col min="10" max="10" width="22.88671875" bestFit="1" customWidth="1"/>
    <col min="11" max="11" width="12.21875" bestFit="1" customWidth="1"/>
    <col min="12" max="12" width="18.88671875" bestFit="1" customWidth="1"/>
  </cols>
  <sheetData>
    <row r="1" spans="1:8" x14ac:dyDescent="0.3">
      <c r="B1" s="1" t="s">
        <v>10</v>
      </c>
      <c r="C1" s="1" t="s">
        <v>1</v>
      </c>
      <c r="D1" s="1" t="s">
        <v>2</v>
      </c>
      <c r="E1" s="1" t="s">
        <v>9</v>
      </c>
      <c r="H1" s="1" t="s">
        <v>6</v>
      </c>
    </row>
    <row r="2" spans="1:8" x14ac:dyDescent="0.3">
      <c r="B2" s="2">
        <v>0</v>
      </c>
      <c r="C2" s="2">
        <v>0</v>
      </c>
      <c r="D2" s="2">
        <v>0</v>
      </c>
      <c r="E2" s="2">
        <v>0</v>
      </c>
      <c r="H2" s="26">
        <f>SUM(H5:H204)</f>
        <v>64430.280000000021</v>
      </c>
    </row>
    <row r="4" spans="1:8" x14ac:dyDescent="0.3">
      <c r="A4" s="15" t="s">
        <v>45</v>
      </c>
      <c r="B4" s="15" t="s">
        <v>46</v>
      </c>
      <c r="C4" s="15" t="s">
        <v>47</v>
      </c>
      <c r="D4" s="15" t="s">
        <v>224</v>
      </c>
      <c r="E4" s="15" t="s">
        <v>225</v>
      </c>
      <c r="F4" s="15" t="s">
        <v>227</v>
      </c>
      <c r="G4" s="15" t="s">
        <v>228</v>
      </c>
      <c r="H4" s="15" t="s">
        <v>5</v>
      </c>
    </row>
    <row r="5" spans="1:8" x14ac:dyDescent="0.3">
      <c r="A5" t="s">
        <v>19</v>
      </c>
      <c r="B5">
        <v>26.52</v>
      </c>
      <c r="C5">
        <v>276.12</v>
      </c>
      <c r="D5">
        <v>45.36</v>
      </c>
      <c r="E5">
        <v>83.04</v>
      </c>
      <c r="F5" s="3">
        <f t="shared" ref="F5:F36" si="0">$B$2+SUMPRODUCT($C$2:$E$2,C5:E5)</f>
        <v>0</v>
      </c>
      <c r="G5" s="3">
        <f>F5-B5</f>
        <v>-26.52</v>
      </c>
      <c r="H5" s="3">
        <f>G5^2</f>
        <v>703.31039999999996</v>
      </c>
    </row>
    <row r="6" spans="1:8" x14ac:dyDescent="0.3">
      <c r="A6" t="s">
        <v>20</v>
      </c>
      <c r="B6">
        <v>12.48</v>
      </c>
      <c r="C6">
        <v>53.4</v>
      </c>
      <c r="D6">
        <v>47.16</v>
      </c>
      <c r="E6">
        <v>54.12</v>
      </c>
      <c r="F6" s="3">
        <f t="shared" si="0"/>
        <v>0</v>
      </c>
      <c r="G6" s="3">
        <f t="shared" ref="G6:G69" si="1">F6-B6</f>
        <v>-12.48</v>
      </c>
      <c r="H6" s="3">
        <f t="shared" ref="H6:H69" si="2">G6^2</f>
        <v>155.75040000000001</v>
      </c>
    </row>
    <row r="7" spans="1:8" x14ac:dyDescent="0.3">
      <c r="A7" t="s">
        <v>21</v>
      </c>
      <c r="B7">
        <v>11.16</v>
      </c>
      <c r="C7">
        <v>20.64</v>
      </c>
      <c r="D7">
        <v>55.08</v>
      </c>
      <c r="E7">
        <v>83.16</v>
      </c>
      <c r="F7" s="3">
        <f t="shared" si="0"/>
        <v>0</v>
      </c>
      <c r="G7" s="3">
        <f t="shared" si="1"/>
        <v>-11.16</v>
      </c>
      <c r="H7" s="3">
        <f t="shared" si="2"/>
        <v>124.54560000000001</v>
      </c>
    </row>
    <row r="8" spans="1:8" x14ac:dyDescent="0.3">
      <c r="A8" t="s">
        <v>22</v>
      </c>
      <c r="B8">
        <v>22.2</v>
      </c>
      <c r="C8">
        <v>181.8</v>
      </c>
      <c r="D8">
        <v>49.56</v>
      </c>
      <c r="E8">
        <v>70.2</v>
      </c>
      <c r="F8" s="3">
        <f t="shared" si="0"/>
        <v>0</v>
      </c>
      <c r="G8" s="3">
        <f t="shared" si="1"/>
        <v>-22.2</v>
      </c>
      <c r="H8" s="3">
        <f t="shared" si="2"/>
        <v>492.84</v>
      </c>
    </row>
    <row r="9" spans="1:8" x14ac:dyDescent="0.3">
      <c r="A9" t="s">
        <v>23</v>
      </c>
      <c r="B9">
        <v>15.48</v>
      </c>
      <c r="C9">
        <v>216.96</v>
      </c>
      <c r="D9">
        <v>12.96</v>
      </c>
      <c r="E9">
        <v>70.08</v>
      </c>
      <c r="F9" s="3">
        <f t="shared" si="0"/>
        <v>0</v>
      </c>
      <c r="G9" s="3">
        <f t="shared" si="1"/>
        <v>-15.48</v>
      </c>
      <c r="H9" s="3">
        <f t="shared" si="2"/>
        <v>239.63040000000001</v>
      </c>
    </row>
    <row r="10" spans="1:8" x14ac:dyDescent="0.3">
      <c r="A10" t="s">
        <v>24</v>
      </c>
      <c r="B10">
        <v>8.64</v>
      </c>
      <c r="C10">
        <v>10.44</v>
      </c>
      <c r="D10">
        <v>58.68</v>
      </c>
      <c r="E10">
        <v>90</v>
      </c>
      <c r="F10" s="3">
        <f t="shared" si="0"/>
        <v>0</v>
      </c>
      <c r="G10" s="3">
        <f t="shared" si="1"/>
        <v>-8.64</v>
      </c>
      <c r="H10" s="3">
        <f t="shared" si="2"/>
        <v>74.649600000000007</v>
      </c>
    </row>
    <row r="11" spans="1:8" x14ac:dyDescent="0.3">
      <c r="A11" t="s">
        <v>25</v>
      </c>
      <c r="B11">
        <v>14.16</v>
      </c>
      <c r="C11">
        <v>69</v>
      </c>
      <c r="D11">
        <v>39.36</v>
      </c>
      <c r="E11">
        <v>28.2</v>
      </c>
      <c r="F11" s="3">
        <f t="shared" si="0"/>
        <v>0</v>
      </c>
      <c r="G11" s="3">
        <f t="shared" si="1"/>
        <v>-14.16</v>
      </c>
      <c r="H11" s="3">
        <f t="shared" si="2"/>
        <v>200.50560000000002</v>
      </c>
    </row>
    <row r="12" spans="1:8" x14ac:dyDescent="0.3">
      <c r="A12" t="s">
        <v>26</v>
      </c>
      <c r="B12">
        <v>15.84</v>
      </c>
      <c r="C12">
        <v>144.24</v>
      </c>
      <c r="D12">
        <v>23.52</v>
      </c>
      <c r="E12">
        <v>13.92</v>
      </c>
      <c r="F12" s="3">
        <f t="shared" si="0"/>
        <v>0</v>
      </c>
      <c r="G12" s="3">
        <f t="shared" si="1"/>
        <v>-15.84</v>
      </c>
      <c r="H12" s="3">
        <f t="shared" si="2"/>
        <v>250.90559999999999</v>
      </c>
    </row>
    <row r="13" spans="1:8" x14ac:dyDescent="0.3">
      <c r="A13" t="s">
        <v>27</v>
      </c>
      <c r="B13">
        <v>5.76</v>
      </c>
      <c r="C13">
        <v>10.32</v>
      </c>
      <c r="D13">
        <v>2.52</v>
      </c>
      <c r="E13">
        <v>1.2</v>
      </c>
      <c r="F13" s="3">
        <f t="shared" si="0"/>
        <v>0</v>
      </c>
      <c r="G13" s="3">
        <f t="shared" si="1"/>
        <v>-5.76</v>
      </c>
      <c r="H13" s="3">
        <f t="shared" si="2"/>
        <v>33.177599999999998</v>
      </c>
    </row>
    <row r="14" spans="1:8" x14ac:dyDescent="0.3">
      <c r="A14" t="s">
        <v>28</v>
      </c>
      <c r="B14">
        <v>12.72</v>
      </c>
      <c r="C14">
        <v>239.76</v>
      </c>
      <c r="D14">
        <v>3.12</v>
      </c>
      <c r="E14">
        <v>25.44</v>
      </c>
      <c r="F14" s="3">
        <f t="shared" si="0"/>
        <v>0</v>
      </c>
      <c r="G14" s="3">
        <f t="shared" si="1"/>
        <v>-12.72</v>
      </c>
      <c r="H14" s="3">
        <f t="shared" si="2"/>
        <v>161.79840000000002</v>
      </c>
    </row>
    <row r="15" spans="1:8" x14ac:dyDescent="0.3">
      <c r="A15" t="s">
        <v>29</v>
      </c>
      <c r="B15">
        <v>10.32</v>
      </c>
      <c r="C15">
        <v>79.319999999999993</v>
      </c>
      <c r="D15">
        <v>6.96</v>
      </c>
      <c r="E15">
        <v>29.04</v>
      </c>
      <c r="F15" s="3">
        <f t="shared" si="0"/>
        <v>0</v>
      </c>
      <c r="G15" s="3">
        <f t="shared" si="1"/>
        <v>-10.32</v>
      </c>
      <c r="H15" s="3">
        <f t="shared" si="2"/>
        <v>106.50240000000001</v>
      </c>
    </row>
    <row r="16" spans="1:8" x14ac:dyDescent="0.3">
      <c r="A16" t="s">
        <v>30</v>
      </c>
      <c r="B16">
        <v>20.88</v>
      </c>
      <c r="C16">
        <v>257.64</v>
      </c>
      <c r="D16">
        <v>28.8</v>
      </c>
      <c r="E16">
        <v>4.8</v>
      </c>
      <c r="F16" s="3">
        <f t="shared" si="0"/>
        <v>0</v>
      </c>
      <c r="G16" s="3">
        <f t="shared" si="1"/>
        <v>-20.88</v>
      </c>
      <c r="H16" s="3">
        <f t="shared" si="2"/>
        <v>435.97439999999995</v>
      </c>
    </row>
    <row r="17" spans="1:8" x14ac:dyDescent="0.3">
      <c r="A17" t="s">
        <v>31</v>
      </c>
      <c r="B17">
        <v>11.04</v>
      </c>
      <c r="C17">
        <v>28.56</v>
      </c>
      <c r="D17">
        <v>42.12</v>
      </c>
      <c r="E17">
        <v>79.08</v>
      </c>
      <c r="F17" s="3">
        <f t="shared" si="0"/>
        <v>0</v>
      </c>
      <c r="G17" s="3">
        <f t="shared" si="1"/>
        <v>-11.04</v>
      </c>
      <c r="H17" s="3">
        <f t="shared" si="2"/>
        <v>121.88159999999998</v>
      </c>
    </row>
    <row r="18" spans="1:8" x14ac:dyDescent="0.3">
      <c r="A18" t="s">
        <v>32</v>
      </c>
      <c r="B18">
        <v>11.64</v>
      </c>
      <c r="C18">
        <v>117</v>
      </c>
      <c r="D18">
        <v>9.1199999999999992</v>
      </c>
      <c r="E18">
        <v>8.64</v>
      </c>
      <c r="F18" s="3">
        <f t="shared" si="0"/>
        <v>0</v>
      </c>
      <c r="G18" s="3">
        <f t="shared" si="1"/>
        <v>-11.64</v>
      </c>
      <c r="H18" s="3">
        <f t="shared" si="2"/>
        <v>135.48960000000002</v>
      </c>
    </row>
    <row r="19" spans="1:8" x14ac:dyDescent="0.3">
      <c r="A19" t="s">
        <v>33</v>
      </c>
      <c r="B19">
        <v>22.8</v>
      </c>
      <c r="C19">
        <v>244.92</v>
      </c>
      <c r="D19">
        <v>39.479999999999997</v>
      </c>
      <c r="E19">
        <v>55.2</v>
      </c>
      <c r="F19" s="3">
        <f t="shared" si="0"/>
        <v>0</v>
      </c>
      <c r="G19" s="3">
        <f t="shared" si="1"/>
        <v>-22.8</v>
      </c>
      <c r="H19" s="3">
        <f t="shared" si="2"/>
        <v>519.84</v>
      </c>
    </row>
    <row r="20" spans="1:8" x14ac:dyDescent="0.3">
      <c r="A20" t="s">
        <v>34</v>
      </c>
      <c r="B20">
        <v>26.88</v>
      </c>
      <c r="C20">
        <v>234.48</v>
      </c>
      <c r="D20">
        <v>57.24</v>
      </c>
      <c r="E20">
        <v>63.48</v>
      </c>
      <c r="F20" s="3">
        <f t="shared" si="0"/>
        <v>0</v>
      </c>
      <c r="G20" s="3">
        <f t="shared" si="1"/>
        <v>-26.88</v>
      </c>
      <c r="H20" s="3">
        <f t="shared" si="2"/>
        <v>722.53439999999989</v>
      </c>
    </row>
    <row r="21" spans="1:8" x14ac:dyDescent="0.3">
      <c r="A21" t="s">
        <v>35</v>
      </c>
      <c r="B21">
        <v>15</v>
      </c>
      <c r="C21">
        <v>81.36</v>
      </c>
      <c r="D21">
        <v>43.92</v>
      </c>
      <c r="E21">
        <v>136.80000000000001</v>
      </c>
      <c r="F21" s="3">
        <f t="shared" si="0"/>
        <v>0</v>
      </c>
      <c r="G21" s="3">
        <f t="shared" si="1"/>
        <v>-15</v>
      </c>
      <c r="H21" s="3">
        <f t="shared" si="2"/>
        <v>225</v>
      </c>
    </row>
    <row r="22" spans="1:8" x14ac:dyDescent="0.3">
      <c r="A22" t="s">
        <v>36</v>
      </c>
      <c r="B22">
        <v>29.28</v>
      </c>
      <c r="C22">
        <v>337.68</v>
      </c>
      <c r="D22">
        <v>47.52</v>
      </c>
      <c r="E22">
        <v>66.959999999999994</v>
      </c>
      <c r="F22" s="3">
        <f t="shared" si="0"/>
        <v>0</v>
      </c>
      <c r="G22" s="3">
        <f t="shared" si="1"/>
        <v>-29.28</v>
      </c>
      <c r="H22" s="3">
        <f t="shared" si="2"/>
        <v>857.31840000000011</v>
      </c>
    </row>
    <row r="23" spans="1:8" x14ac:dyDescent="0.3">
      <c r="A23" t="s">
        <v>37</v>
      </c>
      <c r="B23">
        <v>13.56</v>
      </c>
      <c r="C23">
        <v>83.04</v>
      </c>
      <c r="D23">
        <v>24.6</v>
      </c>
      <c r="E23">
        <v>21.96</v>
      </c>
      <c r="F23" s="3">
        <f t="shared" si="0"/>
        <v>0</v>
      </c>
      <c r="G23" s="3">
        <f t="shared" si="1"/>
        <v>-13.56</v>
      </c>
      <c r="H23" s="3">
        <f t="shared" si="2"/>
        <v>183.87360000000001</v>
      </c>
    </row>
    <row r="24" spans="1:8" x14ac:dyDescent="0.3">
      <c r="A24" t="s">
        <v>38</v>
      </c>
      <c r="B24">
        <v>17.52</v>
      </c>
      <c r="C24">
        <v>176.76</v>
      </c>
      <c r="D24">
        <v>28.68</v>
      </c>
      <c r="E24">
        <v>22.92</v>
      </c>
      <c r="F24" s="3">
        <f t="shared" si="0"/>
        <v>0</v>
      </c>
      <c r="G24" s="3">
        <f t="shared" si="1"/>
        <v>-17.52</v>
      </c>
      <c r="H24" s="3">
        <f t="shared" si="2"/>
        <v>306.9504</v>
      </c>
    </row>
    <row r="25" spans="1:8" x14ac:dyDescent="0.3">
      <c r="A25" t="s">
        <v>39</v>
      </c>
      <c r="B25">
        <v>21.6</v>
      </c>
      <c r="C25">
        <v>262.08</v>
      </c>
      <c r="D25">
        <v>33.24</v>
      </c>
      <c r="E25">
        <v>64.08</v>
      </c>
      <c r="F25" s="3">
        <f t="shared" si="0"/>
        <v>0</v>
      </c>
      <c r="G25" s="3">
        <f t="shared" si="1"/>
        <v>-21.6</v>
      </c>
      <c r="H25" s="3">
        <f t="shared" si="2"/>
        <v>466.56000000000006</v>
      </c>
    </row>
    <row r="26" spans="1:8" x14ac:dyDescent="0.3">
      <c r="A26" t="s">
        <v>40</v>
      </c>
      <c r="B26">
        <v>15</v>
      </c>
      <c r="C26">
        <v>284.88</v>
      </c>
      <c r="D26">
        <v>6.12</v>
      </c>
      <c r="E26">
        <v>28.2</v>
      </c>
      <c r="F26" s="3">
        <f t="shared" si="0"/>
        <v>0</v>
      </c>
      <c r="G26" s="3">
        <f t="shared" si="1"/>
        <v>-15</v>
      </c>
      <c r="H26" s="3">
        <f t="shared" si="2"/>
        <v>225</v>
      </c>
    </row>
    <row r="27" spans="1:8" x14ac:dyDescent="0.3">
      <c r="A27" t="s">
        <v>41</v>
      </c>
      <c r="B27">
        <v>6.72</v>
      </c>
      <c r="C27">
        <v>15.84</v>
      </c>
      <c r="D27">
        <v>19.079999999999998</v>
      </c>
      <c r="E27">
        <v>59.52</v>
      </c>
      <c r="F27" s="3">
        <f t="shared" si="0"/>
        <v>0</v>
      </c>
      <c r="G27" s="3">
        <f t="shared" si="1"/>
        <v>-6.72</v>
      </c>
      <c r="H27" s="3">
        <f t="shared" si="2"/>
        <v>45.158399999999993</v>
      </c>
    </row>
    <row r="28" spans="1:8" x14ac:dyDescent="0.3">
      <c r="A28" t="s">
        <v>42</v>
      </c>
      <c r="B28">
        <v>18.600000000000001</v>
      </c>
      <c r="C28">
        <v>273.95999999999998</v>
      </c>
      <c r="D28">
        <v>20.28</v>
      </c>
      <c r="E28">
        <v>31.44</v>
      </c>
      <c r="F28" s="3">
        <f t="shared" si="0"/>
        <v>0</v>
      </c>
      <c r="G28" s="3">
        <f t="shared" si="1"/>
        <v>-18.600000000000001</v>
      </c>
      <c r="H28" s="3">
        <f t="shared" si="2"/>
        <v>345.96000000000004</v>
      </c>
    </row>
    <row r="29" spans="1:8" x14ac:dyDescent="0.3">
      <c r="A29" t="s">
        <v>48</v>
      </c>
      <c r="B29">
        <v>11.64</v>
      </c>
      <c r="C29">
        <v>74.760000000000005</v>
      </c>
      <c r="D29">
        <v>15.12</v>
      </c>
      <c r="E29">
        <v>21.96</v>
      </c>
      <c r="F29" s="3">
        <f t="shared" si="0"/>
        <v>0</v>
      </c>
      <c r="G29" s="3">
        <f t="shared" si="1"/>
        <v>-11.64</v>
      </c>
      <c r="H29" s="3">
        <f t="shared" si="2"/>
        <v>135.48960000000002</v>
      </c>
    </row>
    <row r="30" spans="1:8" x14ac:dyDescent="0.3">
      <c r="A30" t="s">
        <v>49</v>
      </c>
      <c r="B30">
        <v>14.4</v>
      </c>
      <c r="C30">
        <v>315.48</v>
      </c>
      <c r="D30">
        <v>4.2</v>
      </c>
      <c r="E30">
        <v>23.4</v>
      </c>
      <c r="F30" s="3">
        <f t="shared" si="0"/>
        <v>0</v>
      </c>
      <c r="G30" s="3">
        <f t="shared" si="1"/>
        <v>-14.4</v>
      </c>
      <c r="H30" s="3">
        <f t="shared" si="2"/>
        <v>207.36</v>
      </c>
    </row>
    <row r="31" spans="1:8" x14ac:dyDescent="0.3">
      <c r="A31" t="s">
        <v>50</v>
      </c>
      <c r="B31">
        <v>18</v>
      </c>
      <c r="C31">
        <v>171.48</v>
      </c>
      <c r="D31">
        <v>35.159999999999997</v>
      </c>
      <c r="E31">
        <v>15.12</v>
      </c>
      <c r="F31" s="3">
        <f t="shared" si="0"/>
        <v>0</v>
      </c>
      <c r="G31" s="3">
        <f t="shared" si="1"/>
        <v>-18</v>
      </c>
      <c r="H31" s="3">
        <f t="shared" si="2"/>
        <v>324</v>
      </c>
    </row>
    <row r="32" spans="1:8" x14ac:dyDescent="0.3">
      <c r="A32" t="s">
        <v>51</v>
      </c>
      <c r="B32">
        <v>19.079999999999998</v>
      </c>
      <c r="C32">
        <v>288.12</v>
      </c>
      <c r="D32">
        <v>20.04</v>
      </c>
      <c r="E32">
        <v>27.48</v>
      </c>
      <c r="F32" s="3">
        <f t="shared" si="0"/>
        <v>0</v>
      </c>
      <c r="G32" s="3">
        <f t="shared" si="1"/>
        <v>-19.079999999999998</v>
      </c>
      <c r="H32" s="3">
        <f t="shared" si="2"/>
        <v>364.04639999999995</v>
      </c>
    </row>
    <row r="33" spans="1:8" x14ac:dyDescent="0.3">
      <c r="A33" t="s">
        <v>52</v>
      </c>
      <c r="B33">
        <v>22.68</v>
      </c>
      <c r="C33">
        <v>298.56</v>
      </c>
      <c r="D33">
        <v>32.520000000000003</v>
      </c>
      <c r="E33">
        <v>27.48</v>
      </c>
      <c r="F33" s="3">
        <f t="shared" si="0"/>
        <v>0</v>
      </c>
      <c r="G33" s="3">
        <f t="shared" si="1"/>
        <v>-22.68</v>
      </c>
      <c r="H33" s="3">
        <f t="shared" si="2"/>
        <v>514.38239999999996</v>
      </c>
    </row>
    <row r="34" spans="1:8" x14ac:dyDescent="0.3">
      <c r="A34" t="s">
        <v>53</v>
      </c>
      <c r="B34">
        <v>12.6</v>
      </c>
      <c r="C34">
        <v>84.72</v>
      </c>
      <c r="D34">
        <v>19.2</v>
      </c>
      <c r="E34">
        <v>48.96</v>
      </c>
      <c r="F34" s="3">
        <f t="shared" si="0"/>
        <v>0</v>
      </c>
      <c r="G34" s="3">
        <f t="shared" si="1"/>
        <v>-12.6</v>
      </c>
      <c r="H34" s="3">
        <f t="shared" si="2"/>
        <v>158.76</v>
      </c>
    </row>
    <row r="35" spans="1:8" x14ac:dyDescent="0.3">
      <c r="A35" t="s">
        <v>54</v>
      </c>
      <c r="B35">
        <v>25.68</v>
      </c>
      <c r="C35">
        <v>351.48</v>
      </c>
      <c r="D35">
        <v>33.96</v>
      </c>
      <c r="E35">
        <v>51.84</v>
      </c>
      <c r="F35" s="3">
        <f t="shared" si="0"/>
        <v>0</v>
      </c>
      <c r="G35" s="3">
        <f t="shared" si="1"/>
        <v>-25.68</v>
      </c>
      <c r="H35" s="3">
        <f t="shared" si="2"/>
        <v>659.4624</v>
      </c>
    </row>
    <row r="36" spans="1:8" x14ac:dyDescent="0.3">
      <c r="A36" t="s">
        <v>55</v>
      </c>
      <c r="B36">
        <v>14.28</v>
      </c>
      <c r="C36">
        <v>135.47999999999999</v>
      </c>
      <c r="D36">
        <v>20.88</v>
      </c>
      <c r="E36">
        <v>46.32</v>
      </c>
      <c r="F36" s="3">
        <f t="shared" si="0"/>
        <v>0</v>
      </c>
      <c r="G36" s="3">
        <f t="shared" si="1"/>
        <v>-14.28</v>
      </c>
      <c r="H36" s="3">
        <f t="shared" si="2"/>
        <v>203.91839999999999</v>
      </c>
    </row>
    <row r="37" spans="1:8" x14ac:dyDescent="0.3">
      <c r="A37" t="s">
        <v>56</v>
      </c>
      <c r="B37">
        <v>11.52</v>
      </c>
      <c r="C37">
        <v>116.64</v>
      </c>
      <c r="D37">
        <v>1.8</v>
      </c>
      <c r="E37">
        <v>36</v>
      </c>
      <c r="F37" s="3">
        <f t="shared" ref="F37:F68" si="3">$B$2+SUMPRODUCT($C$2:$E$2,C37:E37)</f>
        <v>0</v>
      </c>
      <c r="G37" s="3">
        <f t="shared" si="1"/>
        <v>-11.52</v>
      </c>
      <c r="H37" s="3">
        <f t="shared" si="2"/>
        <v>132.71039999999999</v>
      </c>
    </row>
    <row r="38" spans="1:8" x14ac:dyDescent="0.3">
      <c r="A38" t="s">
        <v>57</v>
      </c>
      <c r="B38">
        <v>20.88</v>
      </c>
      <c r="C38">
        <v>318.72000000000003</v>
      </c>
      <c r="D38">
        <v>24</v>
      </c>
      <c r="E38">
        <v>0.36</v>
      </c>
      <c r="F38" s="3">
        <f t="shared" si="3"/>
        <v>0</v>
      </c>
      <c r="G38" s="3">
        <f t="shared" si="1"/>
        <v>-20.88</v>
      </c>
      <c r="H38" s="3">
        <f t="shared" si="2"/>
        <v>435.97439999999995</v>
      </c>
    </row>
    <row r="39" spans="1:8" x14ac:dyDescent="0.3">
      <c r="A39" t="s">
        <v>58</v>
      </c>
      <c r="B39">
        <v>11.4</v>
      </c>
      <c r="C39">
        <v>114.84</v>
      </c>
      <c r="D39">
        <v>1.68</v>
      </c>
      <c r="E39">
        <v>8.8800000000000008</v>
      </c>
      <c r="F39" s="3">
        <f t="shared" si="3"/>
        <v>0</v>
      </c>
      <c r="G39" s="3">
        <f t="shared" si="1"/>
        <v>-11.4</v>
      </c>
      <c r="H39" s="3">
        <f t="shared" si="2"/>
        <v>129.96</v>
      </c>
    </row>
    <row r="40" spans="1:8" x14ac:dyDescent="0.3">
      <c r="A40" t="s">
        <v>59</v>
      </c>
      <c r="B40">
        <v>15.36</v>
      </c>
      <c r="C40">
        <v>348.84</v>
      </c>
      <c r="D40">
        <v>4.92</v>
      </c>
      <c r="E40">
        <v>10.199999999999999</v>
      </c>
      <c r="F40" s="3">
        <f t="shared" si="3"/>
        <v>0</v>
      </c>
      <c r="G40" s="3">
        <f t="shared" si="1"/>
        <v>-15.36</v>
      </c>
      <c r="H40" s="3">
        <f t="shared" si="2"/>
        <v>235.92959999999999</v>
      </c>
    </row>
    <row r="41" spans="1:8" x14ac:dyDescent="0.3">
      <c r="A41" t="s">
        <v>60</v>
      </c>
      <c r="B41">
        <v>30.48</v>
      </c>
      <c r="C41">
        <v>320.27999999999997</v>
      </c>
      <c r="D41">
        <v>52.56</v>
      </c>
      <c r="E41">
        <v>6</v>
      </c>
      <c r="F41" s="3">
        <f t="shared" si="3"/>
        <v>0</v>
      </c>
      <c r="G41" s="3">
        <f t="shared" si="1"/>
        <v>-30.48</v>
      </c>
      <c r="H41" s="3">
        <f t="shared" si="2"/>
        <v>929.03039999999999</v>
      </c>
    </row>
    <row r="42" spans="1:8" x14ac:dyDescent="0.3">
      <c r="A42" t="s">
        <v>61</v>
      </c>
      <c r="B42">
        <v>17.64</v>
      </c>
      <c r="C42">
        <v>89.64</v>
      </c>
      <c r="D42">
        <v>59.28</v>
      </c>
      <c r="E42">
        <v>54.84</v>
      </c>
      <c r="F42" s="3">
        <f t="shared" si="3"/>
        <v>0</v>
      </c>
      <c r="G42" s="3">
        <f t="shared" si="1"/>
        <v>-17.64</v>
      </c>
      <c r="H42" s="3">
        <f t="shared" si="2"/>
        <v>311.1696</v>
      </c>
    </row>
    <row r="43" spans="1:8" x14ac:dyDescent="0.3">
      <c r="A43" t="s">
        <v>62</v>
      </c>
      <c r="B43">
        <v>12.12</v>
      </c>
      <c r="C43">
        <v>51.72</v>
      </c>
      <c r="D43">
        <v>32.04</v>
      </c>
      <c r="E43">
        <v>42.12</v>
      </c>
      <c r="F43" s="3">
        <f t="shared" si="3"/>
        <v>0</v>
      </c>
      <c r="G43" s="3">
        <f t="shared" si="1"/>
        <v>-12.12</v>
      </c>
      <c r="H43" s="3">
        <f t="shared" si="2"/>
        <v>146.89439999999999</v>
      </c>
    </row>
    <row r="44" spans="1:8" x14ac:dyDescent="0.3">
      <c r="A44" t="s">
        <v>63</v>
      </c>
      <c r="B44">
        <v>25.8</v>
      </c>
      <c r="C44">
        <v>273.60000000000002</v>
      </c>
      <c r="D44">
        <v>45.24</v>
      </c>
      <c r="E44">
        <v>38.4</v>
      </c>
      <c r="F44" s="3">
        <f t="shared" si="3"/>
        <v>0</v>
      </c>
      <c r="G44" s="3">
        <f t="shared" si="1"/>
        <v>-25.8</v>
      </c>
      <c r="H44" s="3">
        <f t="shared" si="2"/>
        <v>665.64</v>
      </c>
    </row>
    <row r="45" spans="1:8" x14ac:dyDescent="0.3">
      <c r="A45" t="s">
        <v>64</v>
      </c>
      <c r="B45">
        <v>19.920000000000002</v>
      </c>
      <c r="C45">
        <v>243</v>
      </c>
      <c r="D45">
        <v>26.76</v>
      </c>
      <c r="E45">
        <v>37.92</v>
      </c>
      <c r="F45" s="3">
        <f t="shared" si="3"/>
        <v>0</v>
      </c>
      <c r="G45" s="3">
        <f t="shared" si="1"/>
        <v>-19.920000000000002</v>
      </c>
      <c r="H45" s="3">
        <f t="shared" si="2"/>
        <v>396.80640000000005</v>
      </c>
    </row>
    <row r="46" spans="1:8" x14ac:dyDescent="0.3">
      <c r="A46" t="s">
        <v>65</v>
      </c>
      <c r="B46">
        <v>20.52</v>
      </c>
      <c r="C46">
        <v>212.4</v>
      </c>
      <c r="D46">
        <v>40.08</v>
      </c>
      <c r="E46">
        <v>46.44</v>
      </c>
      <c r="F46" s="3">
        <f t="shared" si="3"/>
        <v>0</v>
      </c>
      <c r="G46" s="3">
        <f t="shared" si="1"/>
        <v>-20.52</v>
      </c>
      <c r="H46" s="3">
        <f t="shared" si="2"/>
        <v>421.07040000000001</v>
      </c>
    </row>
    <row r="47" spans="1:8" x14ac:dyDescent="0.3">
      <c r="A47" t="s">
        <v>66</v>
      </c>
      <c r="B47">
        <v>24.84</v>
      </c>
      <c r="C47">
        <v>352.32</v>
      </c>
      <c r="D47">
        <v>33.24</v>
      </c>
      <c r="E47">
        <v>2.16</v>
      </c>
      <c r="F47" s="3">
        <f t="shared" si="3"/>
        <v>0</v>
      </c>
      <c r="G47" s="3">
        <f t="shared" si="1"/>
        <v>-24.84</v>
      </c>
      <c r="H47" s="3">
        <f t="shared" si="2"/>
        <v>617.02559999999994</v>
      </c>
    </row>
    <row r="48" spans="1:8" x14ac:dyDescent="0.3">
      <c r="A48" t="s">
        <v>67</v>
      </c>
      <c r="B48">
        <v>15.48</v>
      </c>
      <c r="C48">
        <v>248.28</v>
      </c>
      <c r="D48">
        <v>10.08</v>
      </c>
      <c r="E48">
        <v>31.68</v>
      </c>
      <c r="F48" s="3">
        <f t="shared" si="3"/>
        <v>0</v>
      </c>
      <c r="G48" s="3">
        <f t="shared" si="1"/>
        <v>-15.48</v>
      </c>
      <c r="H48" s="3">
        <f t="shared" si="2"/>
        <v>239.63040000000001</v>
      </c>
    </row>
    <row r="49" spans="1:8" x14ac:dyDescent="0.3">
      <c r="A49" t="s">
        <v>68</v>
      </c>
      <c r="B49">
        <v>10.199999999999999</v>
      </c>
      <c r="C49">
        <v>30.12</v>
      </c>
      <c r="D49">
        <v>30.84</v>
      </c>
      <c r="E49">
        <v>51.96</v>
      </c>
      <c r="F49" s="3">
        <f t="shared" si="3"/>
        <v>0</v>
      </c>
      <c r="G49" s="3">
        <f t="shared" si="1"/>
        <v>-10.199999999999999</v>
      </c>
      <c r="H49" s="3">
        <f t="shared" si="2"/>
        <v>104.03999999999999</v>
      </c>
    </row>
    <row r="50" spans="1:8" x14ac:dyDescent="0.3">
      <c r="A50" t="s">
        <v>69</v>
      </c>
      <c r="B50">
        <v>17.88</v>
      </c>
      <c r="C50">
        <v>210.12</v>
      </c>
      <c r="D50">
        <v>27</v>
      </c>
      <c r="E50">
        <v>37.799999999999997</v>
      </c>
      <c r="F50" s="3">
        <f t="shared" si="3"/>
        <v>0</v>
      </c>
      <c r="G50" s="3">
        <f t="shared" si="1"/>
        <v>-17.88</v>
      </c>
      <c r="H50" s="3">
        <f t="shared" si="2"/>
        <v>319.69439999999997</v>
      </c>
    </row>
    <row r="51" spans="1:8" x14ac:dyDescent="0.3">
      <c r="A51" t="s">
        <v>70</v>
      </c>
      <c r="B51">
        <v>12.72</v>
      </c>
      <c r="C51">
        <v>107.64</v>
      </c>
      <c r="D51">
        <v>11.88</v>
      </c>
      <c r="E51">
        <v>42.84</v>
      </c>
      <c r="F51" s="3">
        <f t="shared" si="3"/>
        <v>0</v>
      </c>
      <c r="G51" s="3">
        <f t="shared" si="1"/>
        <v>-12.72</v>
      </c>
      <c r="H51" s="3">
        <f t="shared" si="2"/>
        <v>161.79840000000002</v>
      </c>
    </row>
    <row r="52" spans="1:8" x14ac:dyDescent="0.3">
      <c r="A52" t="s">
        <v>71</v>
      </c>
      <c r="B52">
        <v>27.84</v>
      </c>
      <c r="C52">
        <v>287.88</v>
      </c>
      <c r="D52">
        <v>49.8</v>
      </c>
      <c r="E52">
        <v>22.2</v>
      </c>
      <c r="F52" s="3">
        <f t="shared" si="3"/>
        <v>0</v>
      </c>
      <c r="G52" s="3">
        <f t="shared" si="1"/>
        <v>-27.84</v>
      </c>
      <c r="H52" s="3">
        <f t="shared" si="2"/>
        <v>775.06560000000002</v>
      </c>
    </row>
    <row r="53" spans="1:8" x14ac:dyDescent="0.3">
      <c r="A53" t="s">
        <v>72</v>
      </c>
      <c r="B53">
        <v>17.760000000000002</v>
      </c>
      <c r="C53">
        <v>272.64</v>
      </c>
      <c r="D53">
        <v>18.96</v>
      </c>
      <c r="E53">
        <v>59.88</v>
      </c>
      <c r="F53" s="3">
        <f t="shared" si="3"/>
        <v>0</v>
      </c>
      <c r="G53" s="3">
        <f t="shared" si="1"/>
        <v>-17.760000000000002</v>
      </c>
      <c r="H53" s="3">
        <f t="shared" si="2"/>
        <v>315.41760000000005</v>
      </c>
    </row>
    <row r="54" spans="1:8" x14ac:dyDescent="0.3">
      <c r="A54" t="s">
        <v>73</v>
      </c>
      <c r="B54">
        <v>11.64</v>
      </c>
      <c r="C54">
        <v>80.28</v>
      </c>
      <c r="D54">
        <v>14.04</v>
      </c>
      <c r="E54">
        <v>44.16</v>
      </c>
      <c r="F54" s="3">
        <f t="shared" si="3"/>
        <v>0</v>
      </c>
      <c r="G54" s="3">
        <f t="shared" si="1"/>
        <v>-11.64</v>
      </c>
      <c r="H54" s="3">
        <f t="shared" si="2"/>
        <v>135.48960000000002</v>
      </c>
    </row>
    <row r="55" spans="1:8" x14ac:dyDescent="0.3">
      <c r="A55" t="s">
        <v>74</v>
      </c>
      <c r="B55">
        <v>13.68</v>
      </c>
      <c r="C55">
        <v>239.76</v>
      </c>
      <c r="D55">
        <v>3.72</v>
      </c>
      <c r="E55">
        <v>41.52</v>
      </c>
      <c r="F55" s="3">
        <f t="shared" si="3"/>
        <v>0</v>
      </c>
      <c r="G55" s="3">
        <f t="shared" si="1"/>
        <v>-13.68</v>
      </c>
      <c r="H55" s="3">
        <f t="shared" si="2"/>
        <v>187.14239999999998</v>
      </c>
    </row>
    <row r="56" spans="1:8" x14ac:dyDescent="0.3">
      <c r="A56" t="s">
        <v>75</v>
      </c>
      <c r="B56">
        <v>12.84</v>
      </c>
      <c r="C56">
        <v>120.48</v>
      </c>
      <c r="D56">
        <v>11.52</v>
      </c>
      <c r="E56">
        <v>4.32</v>
      </c>
      <c r="F56" s="3">
        <f t="shared" si="3"/>
        <v>0</v>
      </c>
      <c r="G56" s="3">
        <f t="shared" si="1"/>
        <v>-12.84</v>
      </c>
      <c r="H56" s="3">
        <f t="shared" si="2"/>
        <v>164.8656</v>
      </c>
    </row>
    <row r="57" spans="1:8" x14ac:dyDescent="0.3">
      <c r="A57" t="s">
        <v>76</v>
      </c>
      <c r="B57">
        <v>27.12</v>
      </c>
      <c r="C57">
        <v>259.68</v>
      </c>
      <c r="D57">
        <v>50.04</v>
      </c>
      <c r="E57">
        <v>47.52</v>
      </c>
      <c r="F57" s="3">
        <f t="shared" si="3"/>
        <v>0</v>
      </c>
      <c r="G57" s="3">
        <f t="shared" si="1"/>
        <v>-27.12</v>
      </c>
      <c r="H57" s="3">
        <f t="shared" si="2"/>
        <v>735.49440000000004</v>
      </c>
    </row>
    <row r="58" spans="1:8" x14ac:dyDescent="0.3">
      <c r="A58" t="s">
        <v>77</v>
      </c>
      <c r="B58">
        <v>25.44</v>
      </c>
      <c r="C58">
        <v>219.12</v>
      </c>
      <c r="D58">
        <v>55.44</v>
      </c>
      <c r="E58">
        <v>70.44</v>
      </c>
      <c r="F58" s="3">
        <f t="shared" si="3"/>
        <v>0</v>
      </c>
      <c r="G58" s="3">
        <f t="shared" si="1"/>
        <v>-25.44</v>
      </c>
      <c r="H58" s="3">
        <f t="shared" si="2"/>
        <v>647.19360000000006</v>
      </c>
    </row>
    <row r="59" spans="1:8" x14ac:dyDescent="0.3">
      <c r="A59" t="s">
        <v>78</v>
      </c>
      <c r="B59">
        <v>24.24</v>
      </c>
      <c r="C59">
        <v>315.24</v>
      </c>
      <c r="D59">
        <v>34.56</v>
      </c>
      <c r="E59">
        <v>19.079999999999998</v>
      </c>
      <c r="F59" s="3">
        <f t="shared" si="3"/>
        <v>0</v>
      </c>
      <c r="G59" s="3">
        <f t="shared" si="1"/>
        <v>-24.24</v>
      </c>
      <c r="H59" s="3">
        <f t="shared" si="2"/>
        <v>587.57759999999996</v>
      </c>
    </row>
    <row r="60" spans="1:8" x14ac:dyDescent="0.3">
      <c r="A60" t="s">
        <v>79</v>
      </c>
      <c r="B60">
        <v>28.44</v>
      </c>
      <c r="C60">
        <v>238.68</v>
      </c>
      <c r="D60">
        <v>59.28</v>
      </c>
      <c r="E60">
        <v>72</v>
      </c>
      <c r="F60" s="3">
        <f t="shared" si="3"/>
        <v>0</v>
      </c>
      <c r="G60" s="3">
        <f t="shared" si="1"/>
        <v>-28.44</v>
      </c>
      <c r="H60" s="3">
        <f t="shared" si="2"/>
        <v>808.83360000000005</v>
      </c>
    </row>
    <row r="61" spans="1:8" x14ac:dyDescent="0.3">
      <c r="A61" t="s">
        <v>80</v>
      </c>
      <c r="B61">
        <v>6.6</v>
      </c>
      <c r="C61">
        <v>8.76</v>
      </c>
      <c r="D61">
        <v>33.72</v>
      </c>
      <c r="E61">
        <v>49.68</v>
      </c>
      <c r="F61" s="3">
        <f t="shared" si="3"/>
        <v>0</v>
      </c>
      <c r="G61" s="3">
        <f t="shared" si="1"/>
        <v>-6.6</v>
      </c>
      <c r="H61" s="3">
        <f t="shared" si="2"/>
        <v>43.559999999999995</v>
      </c>
    </row>
    <row r="62" spans="1:8" x14ac:dyDescent="0.3">
      <c r="A62" t="s">
        <v>81</v>
      </c>
      <c r="B62">
        <v>15.84</v>
      </c>
      <c r="C62">
        <v>163.44</v>
      </c>
      <c r="D62">
        <v>23.04</v>
      </c>
      <c r="E62">
        <v>19.920000000000002</v>
      </c>
      <c r="F62" s="3">
        <f t="shared" si="3"/>
        <v>0</v>
      </c>
      <c r="G62" s="3">
        <f t="shared" si="1"/>
        <v>-15.84</v>
      </c>
      <c r="H62" s="3">
        <f t="shared" si="2"/>
        <v>250.90559999999999</v>
      </c>
    </row>
    <row r="63" spans="1:8" x14ac:dyDescent="0.3">
      <c r="A63" t="s">
        <v>82</v>
      </c>
      <c r="B63">
        <v>28.56</v>
      </c>
      <c r="C63">
        <v>252.96</v>
      </c>
      <c r="D63">
        <v>59.52</v>
      </c>
      <c r="E63">
        <v>45.24</v>
      </c>
      <c r="F63" s="3">
        <f t="shared" si="3"/>
        <v>0</v>
      </c>
      <c r="G63" s="3">
        <f t="shared" si="1"/>
        <v>-28.56</v>
      </c>
      <c r="H63" s="3">
        <f t="shared" si="2"/>
        <v>815.67359999999996</v>
      </c>
    </row>
    <row r="64" spans="1:8" x14ac:dyDescent="0.3">
      <c r="A64" t="s">
        <v>83</v>
      </c>
      <c r="B64">
        <v>22.08</v>
      </c>
      <c r="C64">
        <v>252.84</v>
      </c>
      <c r="D64">
        <v>35.4</v>
      </c>
      <c r="E64">
        <v>11.16</v>
      </c>
      <c r="F64" s="3">
        <f t="shared" si="3"/>
        <v>0</v>
      </c>
      <c r="G64" s="3">
        <f t="shared" si="1"/>
        <v>-22.08</v>
      </c>
      <c r="H64" s="3">
        <f t="shared" si="2"/>
        <v>487.52639999999991</v>
      </c>
    </row>
    <row r="65" spans="1:8" x14ac:dyDescent="0.3">
      <c r="A65" t="s">
        <v>84</v>
      </c>
      <c r="B65">
        <v>9.7200000000000006</v>
      </c>
      <c r="C65">
        <v>64.2</v>
      </c>
      <c r="D65">
        <v>2.4</v>
      </c>
      <c r="E65">
        <v>25.68</v>
      </c>
      <c r="F65" s="3">
        <f t="shared" si="3"/>
        <v>0</v>
      </c>
      <c r="G65" s="3">
        <f t="shared" si="1"/>
        <v>-9.7200000000000006</v>
      </c>
      <c r="H65" s="3">
        <f t="shared" si="2"/>
        <v>94.478400000000008</v>
      </c>
    </row>
    <row r="66" spans="1:8" x14ac:dyDescent="0.3">
      <c r="A66" t="s">
        <v>85</v>
      </c>
      <c r="B66">
        <v>29.04</v>
      </c>
      <c r="C66">
        <v>313.56</v>
      </c>
      <c r="D66">
        <v>51.24</v>
      </c>
      <c r="E66">
        <v>65.64</v>
      </c>
      <c r="F66" s="3">
        <f t="shared" si="3"/>
        <v>0</v>
      </c>
      <c r="G66" s="3">
        <f t="shared" si="1"/>
        <v>-29.04</v>
      </c>
      <c r="H66" s="3">
        <f t="shared" si="2"/>
        <v>843.32159999999999</v>
      </c>
    </row>
    <row r="67" spans="1:8" x14ac:dyDescent="0.3">
      <c r="A67" t="s">
        <v>86</v>
      </c>
      <c r="B67">
        <v>18.84</v>
      </c>
      <c r="C67">
        <v>287.16000000000003</v>
      </c>
      <c r="D67">
        <v>18.600000000000001</v>
      </c>
      <c r="E67">
        <v>32.76</v>
      </c>
      <c r="F67" s="3">
        <f t="shared" si="3"/>
        <v>0</v>
      </c>
      <c r="G67" s="3">
        <f t="shared" si="1"/>
        <v>-18.84</v>
      </c>
      <c r="H67" s="3">
        <f t="shared" si="2"/>
        <v>354.94560000000001</v>
      </c>
    </row>
    <row r="68" spans="1:8" x14ac:dyDescent="0.3">
      <c r="A68" t="s">
        <v>87</v>
      </c>
      <c r="B68">
        <v>16.8</v>
      </c>
      <c r="C68">
        <v>123.24</v>
      </c>
      <c r="D68">
        <v>35.520000000000003</v>
      </c>
      <c r="E68">
        <v>10.08</v>
      </c>
      <c r="F68" s="3">
        <f t="shared" si="3"/>
        <v>0</v>
      </c>
      <c r="G68" s="3">
        <f t="shared" si="1"/>
        <v>-16.8</v>
      </c>
      <c r="H68" s="3">
        <f t="shared" si="2"/>
        <v>282.24</v>
      </c>
    </row>
    <row r="69" spans="1:8" x14ac:dyDescent="0.3">
      <c r="A69" t="s">
        <v>88</v>
      </c>
      <c r="B69">
        <v>21.6</v>
      </c>
      <c r="C69">
        <v>157.32</v>
      </c>
      <c r="D69">
        <v>51.36</v>
      </c>
      <c r="E69">
        <v>34.68</v>
      </c>
      <c r="F69" s="3">
        <f t="shared" ref="F69:F100" si="4">$B$2+SUMPRODUCT($C$2:$E$2,C69:E69)</f>
        <v>0</v>
      </c>
      <c r="G69" s="3">
        <f t="shared" si="1"/>
        <v>-21.6</v>
      </c>
      <c r="H69" s="3">
        <f t="shared" si="2"/>
        <v>466.56000000000006</v>
      </c>
    </row>
    <row r="70" spans="1:8" x14ac:dyDescent="0.3">
      <c r="A70" t="s">
        <v>89</v>
      </c>
      <c r="B70">
        <v>11.16</v>
      </c>
      <c r="C70">
        <v>82.8</v>
      </c>
      <c r="D70">
        <v>11.16</v>
      </c>
      <c r="E70">
        <v>1.08</v>
      </c>
      <c r="F70" s="3">
        <f t="shared" si="4"/>
        <v>0</v>
      </c>
      <c r="G70" s="3">
        <f t="shared" ref="G70:G133" si="5">F70-B70</f>
        <v>-11.16</v>
      </c>
      <c r="H70" s="3">
        <f t="shared" ref="H70:H133" si="6">G70^2</f>
        <v>124.54560000000001</v>
      </c>
    </row>
    <row r="71" spans="1:8" x14ac:dyDescent="0.3">
      <c r="A71" t="s">
        <v>90</v>
      </c>
      <c r="B71">
        <v>11.4</v>
      </c>
      <c r="C71">
        <v>37.799999999999997</v>
      </c>
      <c r="D71">
        <v>29.52</v>
      </c>
      <c r="E71">
        <v>2.64</v>
      </c>
      <c r="F71" s="3">
        <f t="shared" si="4"/>
        <v>0</v>
      </c>
      <c r="G71" s="3">
        <f t="shared" si="5"/>
        <v>-11.4</v>
      </c>
      <c r="H71" s="3">
        <f t="shared" si="6"/>
        <v>129.96</v>
      </c>
    </row>
    <row r="72" spans="1:8" x14ac:dyDescent="0.3">
      <c r="A72" t="s">
        <v>91</v>
      </c>
      <c r="B72">
        <v>16.079999999999998</v>
      </c>
      <c r="C72">
        <v>167.16</v>
      </c>
      <c r="D72">
        <v>17.399999999999999</v>
      </c>
      <c r="E72">
        <v>12.24</v>
      </c>
      <c r="F72" s="3">
        <f t="shared" si="4"/>
        <v>0</v>
      </c>
      <c r="G72" s="3">
        <f t="shared" si="5"/>
        <v>-16.079999999999998</v>
      </c>
      <c r="H72" s="3">
        <f t="shared" si="6"/>
        <v>258.56639999999993</v>
      </c>
    </row>
    <row r="73" spans="1:8" x14ac:dyDescent="0.3">
      <c r="A73" t="s">
        <v>92</v>
      </c>
      <c r="B73">
        <v>22.68</v>
      </c>
      <c r="C73">
        <v>284.88</v>
      </c>
      <c r="D73">
        <v>33</v>
      </c>
      <c r="E73">
        <v>13.2</v>
      </c>
      <c r="F73" s="3">
        <f t="shared" si="4"/>
        <v>0</v>
      </c>
      <c r="G73" s="3">
        <f t="shared" si="5"/>
        <v>-22.68</v>
      </c>
      <c r="H73" s="3">
        <f t="shared" si="6"/>
        <v>514.38239999999996</v>
      </c>
    </row>
    <row r="74" spans="1:8" x14ac:dyDescent="0.3">
      <c r="A74" t="s">
        <v>93</v>
      </c>
      <c r="B74">
        <v>26.76</v>
      </c>
      <c r="C74">
        <v>260.16000000000003</v>
      </c>
      <c r="D74">
        <v>52.68</v>
      </c>
      <c r="E74">
        <v>32.64</v>
      </c>
      <c r="F74" s="3">
        <f t="shared" si="4"/>
        <v>0</v>
      </c>
      <c r="G74" s="3">
        <f t="shared" si="5"/>
        <v>-26.76</v>
      </c>
      <c r="H74" s="3">
        <f t="shared" si="6"/>
        <v>716.09760000000006</v>
      </c>
    </row>
    <row r="75" spans="1:8" x14ac:dyDescent="0.3">
      <c r="A75" t="s">
        <v>94</v>
      </c>
      <c r="B75">
        <v>21.96</v>
      </c>
      <c r="C75">
        <v>238.92</v>
      </c>
      <c r="D75">
        <v>36.72</v>
      </c>
      <c r="E75">
        <v>46.44</v>
      </c>
      <c r="F75" s="3">
        <f t="shared" si="4"/>
        <v>0</v>
      </c>
      <c r="G75" s="3">
        <f t="shared" si="5"/>
        <v>-21.96</v>
      </c>
      <c r="H75" s="3">
        <f t="shared" si="6"/>
        <v>482.24160000000006</v>
      </c>
    </row>
    <row r="76" spans="1:8" x14ac:dyDescent="0.3">
      <c r="A76" t="s">
        <v>95</v>
      </c>
      <c r="B76">
        <v>14.88</v>
      </c>
      <c r="C76">
        <v>131.76</v>
      </c>
      <c r="D76">
        <v>17.16</v>
      </c>
      <c r="E76">
        <v>38.04</v>
      </c>
      <c r="F76" s="3">
        <f t="shared" si="4"/>
        <v>0</v>
      </c>
      <c r="G76" s="3">
        <f t="shared" si="5"/>
        <v>-14.88</v>
      </c>
      <c r="H76" s="3">
        <f t="shared" si="6"/>
        <v>221.41440000000003</v>
      </c>
    </row>
    <row r="77" spans="1:8" x14ac:dyDescent="0.3">
      <c r="A77" t="s">
        <v>96</v>
      </c>
      <c r="B77">
        <v>10.56</v>
      </c>
      <c r="C77">
        <v>32.159999999999997</v>
      </c>
      <c r="D77">
        <v>39.6</v>
      </c>
      <c r="E77">
        <v>23.16</v>
      </c>
      <c r="F77" s="3">
        <f t="shared" si="4"/>
        <v>0</v>
      </c>
      <c r="G77" s="3">
        <f t="shared" si="5"/>
        <v>-10.56</v>
      </c>
      <c r="H77" s="3">
        <f t="shared" si="6"/>
        <v>111.51360000000001</v>
      </c>
    </row>
    <row r="78" spans="1:8" x14ac:dyDescent="0.3">
      <c r="A78" t="s">
        <v>97</v>
      </c>
      <c r="B78">
        <v>13.2</v>
      </c>
      <c r="C78">
        <v>155.28</v>
      </c>
      <c r="D78">
        <v>6.84</v>
      </c>
      <c r="E78">
        <v>37.56</v>
      </c>
      <c r="F78" s="3">
        <f t="shared" si="4"/>
        <v>0</v>
      </c>
      <c r="G78" s="3">
        <f t="shared" si="5"/>
        <v>-13.2</v>
      </c>
      <c r="H78" s="3">
        <f t="shared" si="6"/>
        <v>174.23999999999998</v>
      </c>
    </row>
    <row r="79" spans="1:8" x14ac:dyDescent="0.3">
      <c r="A79" t="s">
        <v>98</v>
      </c>
      <c r="B79">
        <v>20.399999999999999</v>
      </c>
      <c r="C79">
        <v>256.08</v>
      </c>
      <c r="D79">
        <v>29.52</v>
      </c>
      <c r="E79">
        <v>15.72</v>
      </c>
      <c r="F79" s="3">
        <f t="shared" si="4"/>
        <v>0</v>
      </c>
      <c r="G79" s="3">
        <f t="shared" si="5"/>
        <v>-20.399999999999999</v>
      </c>
      <c r="H79" s="3">
        <f t="shared" si="6"/>
        <v>416.15999999999997</v>
      </c>
    </row>
    <row r="80" spans="1:8" x14ac:dyDescent="0.3">
      <c r="A80" t="s">
        <v>99</v>
      </c>
      <c r="B80">
        <v>10.44</v>
      </c>
      <c r="C80">
        <v>20.28</v>
      </c>
      <c r="D80">
        <v>52.44</v>
      </c>
      <c r="E80">
        <v>107.28</v>
      </c>
      <c r="F80" s="3">
        <f t="shared" si="4"/>
        <v>0</v>
      </c>
      <c r="G80" s="3">
        <f t="shared" si="5"/>
        <v>-10.44</v>
      </c>
      <c r="H80" s="3">
        <f t="shared" si="6"/>
        <v>108.99359999999999</v>
      </c>
    </row>
    <row r="81" spans="1:8" x14ac:dyDescent="0.3">
      <c r="A81" t="s">
        <v>100</v>
      </c>
      <c r="B81">
        <v>8.2799999999999994</v>
      </c>
      <c r="C81">
        <v>33</v>
      </c>
      <c r="D81">
        <v>1.92</v>
      </c>
      <c r="E81">
        <v>24.84</v>
      </c>
      <c r="F81" s="3">
        <f t="shared" si="4"/>
        <v>0</v>
      </c>
      <c r="G81" s="3">
        <f t="shared" si="5"/>
        <v>-8.2799999999999994</v>
      </c>
      <c r="H81" s="3">
        <f t="shared" si="6"/>
        <v>68.558399999999992</v>
      </c>
    </row>
    <row r="82" spans="1:8" x14ac:dyDescent="0.3">
      <c r="A82" t="s">
        <v>101</v>
      </c>
      <c r="B82">
        <v>17.04</v>
      </c>
      <c r="C82">
        <v>144.6</v>
      </c>
      <c r="D82">
        <v>34.200000000000003</v>
      </c>
      <c r="E82">
        <v>17.04</v>
      </c>
      <c r="F82" s="3">
        <f t="shared" si="4"/>
        <v>0</v>
      </c>
      <c r="G82" s="3">
        <f t="shared" si="5"/>
        <v>-17.04</v>
      </c>
      <c r="H82" s="3">
        <f t="shared" si="6"/>
        <v>290.36159999999995</v>
      </c>
    </row>
    <row r="83" spans="1:8" x14ac:dyDescent="0.3">
      <c r="A83" t="s">
        <v>102</v>
      </c>
      <c r="B83">
        <v>6.36</v>
      </c>
      <c r="C83">
        <v>6.48</v>
      </c>
      <c r="D83">
        <v>35.880000000000003</v>
      </c>
      <c r="E83">
        <v>11.28</v>
      </c>
      <c r="F83" s="3">
        <f t="shared" si="4"/>
        <v>0</v>
      </c>
      <c r="G83" s="3">
        <f t="shared" si="5"/>
        <v>-6.36</v>
      </c>
      <c r="H83" s="3">
        <f t="shared" si="6"/>
        <v>40.449600000000004</v>
      </c>
    </row>
    <row r="84" spans="1:8" x14ac:dyDescent="0.3">
      <c r="A84" t="s">
        <v>103</v>
      </c>
      <c r="B84">
        <v>13.2</v>
      </c>
      <c r="C84">
        <v>139.19999999999999</v>
      </c>
      <c r="D84">
        <v>9.24</v>
      </c>
      <c r="E84">
        <v>27.72</v>
      </c>
      <c r="F84" s="3">
        <f t="shared" si="4"/>
        <v>0</v>
      </c>
      <c r="G84" s="3">
        <f t="shared" si="5"/>
        <v>-13.2</v>
      </c>
      <c r="H84" s="3">
        <f t="shared" si="6"/>
        <v>174.23999999999998</v>
      </c>
    </row>
    <row r="85" spans="1:8" x14ac:dyDescent="0.3">
      <c r="A85" t="s">
        <v>104</v>
      </c>
      <c r="B85">
        <v>14.16</v>
      </c>
      <c r="C85">
        <v>91.68</v>
      </c>
      <c r="D85">
        <v>32.04</v>
      </c>
      <c r="E85">
        <v>26.76</v>
      </c>
      <c r="F85" s="3">
        <f t="shared" si="4"/>
        <v>0</v>
      </c>
      <c r="G85" s="3">
        <f t="shared" si="5"/>
        <v>-14.16</v>
      </c>
      <c r="H85" s="3">
        <f t="shared" si="6"/>
        <v>200.50560000000002</v>
      </c>
    </row>
    <row r="86" spans="1:8" x14ac:dyDescent="0.3">
      <c r="A86" t="s">
        <v>105</v>
      </c>
      <c r="B86">
        <v>14.76</v>
      </c>
      <c r="C86">
        <v>287.76</v>
      </c>
      <c r="D86">
        <v>4.92</v>
      </c>
      <c r="E86">
        <v>44.28</v>
      </c>
      <c r="F86" s="3">
        <f t="shared" si="4"/>
        <v>0</v>
      </c>
      <c r="G86" s="3">
        <f t="shared" si="5"/>
        <v>-14.76</v>
      </c>
      <c r="H86" s="3">
        <f t="shared" si="6"/>
        <v>217.85759999999999</v>
      </c>
    </row>
    <row r="87" spans="1:8" x14ac:dyDescent="0.3">
      <c r="A87" t="s">
        <v>106</v>
      </c>
      <c r="B87">
        <v>13.56</v>
      </c>
      <c r="C87">
        <v>90.36</v>
      </c>
      <c r="D87">
        <v>24.36</v>
      </c>
      <c r="E87">
        <v>39</v>
      </c>
      <c r="F87" s="3">
        <f t="shared" si="4"/>
        <v>0</v>
      </c>
      <c r="G87" s="3">
        <f t="shared" si="5"/>
        <v>-13.56</v>
      </c>
      <c r="H87" s="3">
        <f t="shared" si="6"/>
        <v>183.87360000000001</v>
      </c>
    </row>
    <row r="88" spans="1:8" x14ac:dyDescent="0.3">
      <c r="A88" t="s">
        <v>107</v>
      </c>
      <c r="B88">
        <v>16.32</v>
      </c>
      <c r="C88">
        <v>82.08</v>
      </c>
      <c r="D88">
        <v>53.4</v>
      </c>
      <c r="E88">
        <v>42.72</v>
      </c>
      <c r="F88" s="3">
        <f t="shared" si="4"/>
        <v>0</v>
      </c>
      <c r="G88" s="3">
        <f t="shared" si="5"/>
        <v>-16.32</v>
      </c>
      <c r="H88" s="3">
        <f t="shared" si="6"/>
        <v>266.3424</v>
      </c>
    </row>
    <row r="89" spans="1:8" x14ac:dyDescent="0.3">
      <c r="A89" t="s">
        <v>108</v>
      </c>
      <c r="B89">
        <v>26.04</v>
      </c>
      <c r="C89">
        <v>256.2</v>
      </c>
      <c r="D89">
        <v>51.6</v>
      </c>
      <c r="E89">
        <v>40.56</v>
      </c>
      <c r="F89" s="3">
        <f t="shared" si="4"/>
        <v>0</v>
      </c>
      <c r="G89" s="3">
        <f t="shared" si="5"/>
        <v>-26.04</v>
      </c>
      <c r="H89" s="3">
        <f t="shared" si="6"/>
        <v>678.08159999999998</v>
      </c>
    </row>
    <row r="90" spans="1:8" x14ac:dyDescent="0.3">
      <c r="A90" t="s">
        <v>109</v>
      </c>
      <c r="B90">
        <v>18.239999999999998</v>
      </c>
      <c r="C90">
        <v>231.84</v>
      </c>
      <c r="D90">
        <v>22.08</v>
      </c>
      <c r="E90">
        <v>78.84</v>
      </c>
      <c r="F90" s="3">
        <f t="shared" si="4"/>
        <v>0</v>
      </c>
      <c r="G90" s="3">
        <f t="shared" si="5"/>
        <v>-18.239999999999998</v>
      </c>
      <c r="H90" s="3">
        <f t="shared" si="6"/>
        <v>332.69759999999997</v>
      </c>
    </row>
    <row r="91" spans="1:8" x14ac:dyDescent="0.3">
      <c r="A91" t="s">
        <v>110</v>
      </c>
      <c r="B91">
        <v>14.4</v>
      </c>
      <c r="C91">
        <v>91.56</v>
      </c>
      <c r="D91">
        <v>33</v>
      </c>
      <c r="E91">
        <v>19.2</v>
      </c>
      <c r="F91" s="3">
        <f t="shared" si="4"/>
        <v>0</v>
      </c>
      <c r="G91" s="3">
        <f t="shared" si="5"/>
        <v>-14.4</v>
      </c>
      <c r="H91" s="3">
        <f t="shared" si="6"/>
        <v>207.36</v>
      </c>
    </row>
    <row r="92" spans="1:8" x14ac:dyDescent="0.3">
      <c r="A92" t="s">
        <v>111</v>
      </c>
      <c r="B92">
        <v>19.2</v>
      </c>
      <c r="C92">
        <v>132.84</v>
      </c>
      <c r="D92">
        <v>48.72</v>
      </c>
      <c r="E92">
        <v>75.84</v>
      </c>
      <c r="F92" s="3">
        <f t="shared" si="4"/>
        <v>0</v>
      </c>
      <c r="G92" s="3">
        <f t="shared" si="5"/>
        <v>-19.2</v>
      </c>
      <c r="H92" s="3">
        <f t="shared" si="6"/>
        <v>368.64</v>
      </c>
    </row>
    <row r="93" spans="1:8" x14ac:dyDescent="0.3">
      <c r="A93" t="s">
        <v>112</v>
      </c>
      <c r="B93">
        <v>15.48</v>
      </c>
      <c r="C93">
        <v>105.96</v>
      </c>
      <c r="D93">
        <v>30.6</v>
      </c>
      <c r="E93">
        <v>88.08</v>
      </c>
      <c r="F93" s="3">
        <f t="shared" si="4"/>
        <v>0</v>
      </c>
      <c r="G93" s="3">
        <f t="shared" si="5"/>
        <v>-15.48</v>
      </c>
      <c r="H93" s="3">
        <f t="shared" si="6"/>
        <v>239.63040000000001</v>
      </c>
    </row>
    <row r="94" spans="1:8" x14ac:dyDescent="0.3">
      <c r="A94" t="s">
        <v>113</v>
      </c>
      <c r="B94">
        <v>20.04</v>
      </c>
      <c r="C94">
        <v>131.76</v>
      </c>
      <c r="D94">
        <v>57.36</v>
      </c>
      <c r="E94">
        <v>61.68</v>
      </c>
      <c r="F94" s="3">
        <f t="shared" si="4"/>
        <v>0</v>
      </c>
      <c r="G94" s="3">
        <f t="shared" si="5"/>
        <v>-20.04</v>
      </c>
      <c r="H94" s="3">
        <f t="shared" si="6"/>
        <v>401.60159999999996</v>
      </c>
    </row>
    <row r="95" spans="1:8" x14ac:dyDescent="0.3">
      <c r="A95" t="s">
        <v>114</v>
      </c>
      <c r="B95">
        <v>13.44</v>
      </c>
      <c r="C95">
        <v>161.16</v>
      </c>
      <c r="D95">
        <v>5.88</v>
      </c>
      <c r="E95">
        <v>11.16</v>
      </c>
      <c r="F95" s="3">
        <f t="shared" si="4"/>
        <v>0</v>
      </c>
      <c r="G95" s="3">
        <f t="shared" si="5"/>
        <v>-13.44</v>
      </c>
      <c r="H95" s="3">
        <f t="shared" si="6"/>
        <v>180.63359999999997</v>
      </c>
    </row>
    <row r="96" spans="1:8" x14ac:dyDescent="0.3">
      <c r="A96" t="s">
        <v>115</v>
      </c>
      <c r="B96">
        <v>8.76</v>
      </c>
      <c r="C96">
        <v>34.32</v>
      </c>
      <c r="D96">
        <v>1.8</v>
      </c>
      <c r="E96">
        <v>39.6</v>
      </c>
      <c r="F96" s="3">
        <f t="shared" si="4"/>
        <v>0</v>
      </c>
      <c r="G96" s="3">
        <f t="shared" si="5"/>
        <v>-8.76</v>
      </c>
      <c r="H96" s="3">
        <f t="shared" si="6"/>
        <v>76.7376</v>
      </c>
    </row>
    <row r="97" spans="1:8" x14ac:dyDescent="0.3">
      <c r="A97" t="s">
        <v>116</v>
      </c>
      <c r="B97">
        <v>23.28</v>
      </c>
      <c r="C97">
        <v>261.24</v>
      </c>
      <c r="D97">
        <v>40.200000000000003</v>
      </c>
      <c r="E97">
        <v>70.8</v>
      </c>
      <c r="F97" s="3">
        <f t="shared" si="4"/>
        <v>0</v>
      </c>
      <c r="G97" s="3">
        <f t="shared" si="5"/>
        <v>-23.28</v>
      </c>
      <c r="H97" s="3">
        <f t="shared" si="6"/>
        <v>541.9584000000001</v>
      </c>
    </row>
    <row r="98" spans="1:8" x14ac:dyDescent="0.3">
      <c r="A98" t="s">
        <v>117</v>
      </c>
      <c r="B98">
        <v>26.64</v>
      </c>
      <c r="C98">
        <v>301.08</v>
      </c>
      <c r="D98">
        <v>43.8</v>
      </c>
      <c r="E98">
        <v>86.76</v>
      </c>
      <c r="F98" s="3">
        <f t="shared" si="4"/>
        <v>0</v>
      </c>
      <c r="G98" s="3">
        <f t="shared" si="5"/>
        <v>-26.64</v>
      </c>
      <c r="H98" s="3">
        <f t="shared" si="6"/>
        <v>709.68960000000004</v>
      </c>
    </row>
    <row r="99" spans="1:8" x14ac:dyDescent="0.3">
      <c r="A99" t="s">
        <v>118</v>
      </c>
      <c r="B99">
        <v>13.8</v>
      </c>
      <c r="C99">
        <v>128.88</v>
      </c>
      <c r="D99">
        <v>16.8</v>
      </c>
      <c r="E99">
        <v>13.08</v>
      </c>
      <c r="F99" s="3">
        <f t="shared" si="4"/>
        <v>0</v>
      </c>
      <c r="G99" s="3">
        <f t="shared" si="5"/>
        <v>-13.8</v>
      </c>
      <c r="H99" s="3">
        <f t="shared" si="6"/>
        <v>190.44000000000003</v>
      </c>
    </row>
    <row r="100" spans="1:8" x14ac:dyDescent="0.3">
      <c r="A100" t="s">
        <v>119</v>
      </c>
      <c r="B100">
        <v>20.28</v>
      </c>
      <c r="C100">
        <v>195.96</v>
      </c>
      <c r="D100">
        <v>37.92</v>
      </c>
      <c r="E100">
        <v>63.48</v>
      </c>
      <c r="F100" s="3">
        <f t="shared" si="4"/>
        <v>0</v>
      </c>
      <c r="G100" s="3">
        <f t="shared" si="5"/>
        <v>-20.28</v>
      </c>
      <c r="H100" s="3">
        <f t="shared" si="6"/>
        <v>411.27840000000003</v>
      </c>
    </row>
    <row r="101" spans="1:8" x14ac:dyDescent="0.3">
      <c r="A101" t="s">
        <v>120</v>
      </c>
      <c r="B101">
        <v>14.04</v>
      </c>
      <c r="C101">
        <v>237.12</v>
      </c>
      <c r="D101">
        <v>4.2</v>
      </c>
      <c r="E101">
        <v>7.08</v>
      </c>
      <c r="F101" s="3">
        <f t="shared" ref="F101:F132" si="7">$B$2+SUMPRODUCT($C$2:$E$2,C101:E101)</f>
        <v>0</v>
      </c>
      <c r="G101" s="3">
        <f t="shared" si="5"/>
        <v>-14.04</v>
      </c>
      <c r="H101" s="3">
        <f t="shared" si="6"/>
        <v>197.12159999999997</v>
      </c>
    </row>
    <row r="102" spans="1:8" x14ac:dyDescent="0.3">
      <c r="A102" t="s">
        <v>121</v>
      </c>
      <c r="B102">
        <v>18.600000000000001</v>
      </c>
      <c r="C102">
        <v>221.88</v>
      </c>
      <c r="D102">
        <v>25.2</v>
      </c>
      <c r="E102">
        <v>26.4</v>
      </c>
      <c r="F102" s="3">
        <f t="shared" si="7"/>
        <v>0</v>
      </c>
      <c r="G102" s="3">
        <f t="shared" si="5"/>
        <v>-18.600000000000001</v>
      </c>
      <c r="H102" s="3">
        <f t="shared" si="6"/>
        <v>345.96000000000004</v>
      </c>
    </row>
    <row r="103" spans="1:8" x14ac:dyDescent="0.3">
      <c r="A103" t="s">
        <v>122</v>
      </c>
      <c r="B103">
        <v>30.48</v>
      </c>
      <c r="C103">
        <v>347.64</v>
      </c>
      <c r="D103">
        <v>50.76</v>
      </c>
      <c r="E103">
        <v>61.44</v>
      </c>
      <c r="F103" s="3">
        <f t="shared" si="7"/>
        <v>0</v>
      </c>
      <c r="G103" s="3">
        <f t="shared" si="5"/>
        <v>-30.48</v>
      </c>
      <c r="H103" s="3">
        <f t="shared" si="6"/>
        <v>929.03039999999999</v>
      </c>
    </row>
    <row r="104" spans="1:8" x14ac:dyDescent="0.3">
      <c r="A104" t="s">
        <v>123</v>
      </c>
      <c r="B104">
        <v>20.64</v>
      </c>
      <c r="C104">
        <v>162.24</v>
      </c>
      <c r="D104">
        <v>50.04</v>
      </c>
      <c r="E104">
        <v>55.08</v>
      </c>
      <c r="F104" s="3">
        <f t="shared" si="7"/>
        <v>0</v>
      </c>
      <c r="G104" s="3">
        <f t="shared" si="5"/>
        <v>-20.64</v>
      </c>
      <c r="H104" s="3">
        <f t="shared" si="6"/>
        <v>426.00960000000003</v>
      </c>
    </row>
    <row r="105" spans="1:8" x14ac:dyDescent="0.3">
      <c r="A105" t="s">
        <v>124</v>
      </c>
      <c r="B105">
        <v>14.04</v>
      </c>
      <c r="C105">
        <v>266.88</v>
      </c>
      <c r="D105">
        <v>5.16</v>
      </c>
      <c r="E105">
        <v>59.76</v>
      </c>
      <c r="F105" s="3">
        <f t="shared" si="7"/>
        <v>0</v>
      </c>
      <c r="G105" s="3">
        <f t="shared" si="5"/>
        <v>-14.04</v>
      </c>
      <c r="H105" s="3">
        <f t="shared" si="6"/>
        <v>197.12159999999997</v>
      </c>
    </row>
    <row r="106" spans="1:8" x14ac:dyDescent="0.3">
      <c r="A106" t="s">
        <v>125</v>
      </c>
      <c r="B106">
        <v>28.56</v>
      </c>
      <c r="C106">
        <v>355.68</v>
      </c>
      <c r="D106">
        <v>43.56</v>
      </c>
      <c r="E106">
        <v>121.08</v>
      </c>
      <c r="F106" s="3">
        <f t="shared" si="7"/>
        <v>0</v>
      </c>
      <c r="G106" s="3">
        <f t="shared" si="5"/>
        <v>-28.56</v>
      </c>
      <c r="H106" s="3">
        <f t="shared" si="6"/>
        <v>815.67359999999996</v>
      </c>
    </row>
    <row r="107" spans="1:8" x14ac:dyDescent="0.3">
      <c r="A107" t="s">
        <v>126</v>
      </c>
      <c r="B107">
        <v>17.760000000000002</v>
      </c>
      <c r="C107">
        <v>336.24</v>
      </c>
      <c r="D107">
        <v>12.12</v>
      </c>
      <c r="E107">
        <v>25.68</v>
      </c>
      <c r="F107" s="3">
        <f t="shared" si="7"/>
        <v>0</v>
      </c>
      <c r="G107" s="3">
        <f t="shared" si="5"/>
        <v>-17.760000000000002</v>
      </c>
      <c r="H107" s="3">
        <f t="shared" si="6"/>
        <v>315.41760000000005</v>
      </c>
    </row>
    <row r="108" spans="1:8" x14ac:dyDescent="0.3">
      <c r="A108" t="s">
        <v>127</v>
      </c>
      <c r="B108">
        <v>17.64</v>
      </c>
      <c r="C108">
        <v>225.48</v>
      </c>
      <c r="D108">
        <v>20.64</v>
      </c>
      <c r="E108">
        <v>21.48</v>
      </c>
      <c r="F108" s="3">
        <f t="shared" si="7"/>
        <v>0</v>
      </c>
      <c r="G108" s="3">
        <f t="shared" si="5"/>
        <v>-17.64</v>
      </c>
      <c r="H108" s="3">
        <f t="shared" si="6"/>
        <v>311.1696</v>
      </c>
    </row>
    <row r="109" spans="1:8" x14ac:dyDescent="0.3">
      <c r="A109" t="s">
        <v>128</v>
      </c>
      <c r="B109">
        <v>24.84</v>
      </c>
      <c r="C109">
        <v>285.83999999999997</v>
      </c>
      <c r="D109">
        <v>41.16</v>
      </c>
      <c r="E109">
        <v>6.36</v>
      </c>
      <c r="F109" s="3">
        <f t="shared" si="7"/>
        <v>0</v>
      </c>
      <c r="G109" s="3">
        <f t="shared" si="5"/>
        <v>-24.84</v>
      </c>
      <c r="H109" s="3">
        <f t="shared" si="6"/>
        <v>617.02559999999994</v>
      </c>
    </row>
    <row r="110" spans="1:8" x14ac:dyDescent="0.3">
      <c r="A110" t="s">
        <v>129</v>
      </c>
      <c r="B110">
        <v>23.04</v>
      </c>
      <c r="C110">
        <v>165.48</v>
      </c>
      <c r="D110">
        <v>55.68</v>
      </c>
      <c r="E110">
        <v>70.8</v>
      </c>
      <c r="F110" s="3">
        <f t="shared" si="7"/>
        <v>0</v>
      </c>
      <c r="G110" s="3">
        <f t="shared" si="5"/>
        <v>-23.04</v>
      </c>
      <c r="H110" s="3">
        <f t="shared" si="6"/>
        <v>530.84159999999997</v>
      </c>
    </row>
    <row r="111" spans="1:8" x14ac:dyDescent="0.3">
      <c r="A111" t="s">
        <v>130</v>
      </c>
      <c r="B111">
        <v>8.64</v>
      </c>
      <c r="C111">
        <v>30</v>
      </c>
      <c r="D111">
        <v>13.2</v>
      </c>
      <c r="E111">
        <v>35.64</v>
      </c>
      <c r="F111" s="3">
        <f t="shared" si="7"/>
        <v>0</v>
      </c>
      <c r="G111" s="3">
        <f t="shared" si="5"/>
        <v>-8.64</v>
      </c>
      <c r="H111" s="3">
        <f t="shared" si="6"/>
        <v>74.649600000000007</v>
      </c>
    </row>
    <row r="112" spans="1:8" x14ac:dyDescent="0.3">
      <c r="A112" t="s">
        <v>131</v>
      </c>
      <c r="B112">
        <v>10.44</v>
      </c>
      <c r="C112">
        <v>108.48</v>
      </c>
      <c r="D112">
        <v>0.36</v>
      </c>
      <c r="E112">
        <v>27.84</v>
      </c>
      <c r="F112" s="3">
        <f t="shared" si="7"/>
        <v>0</v>
      </c>
      <c r="G112" s="3">
        <f t="shared" si="5"/>
        <v>-10.44</v>
      </c>
      <c r="H112" s="3">
        <f t="shared" si="6"/>
        <v>108.99359999999999</v>
      </c>
    </row>
    <row r="113" spans="1:8" x14ac:dyDescent="0.3">
      <c r="A113" t="s">
        <v>132</v>
      </c>
      <c r="B113">
        <v>6.36</v>
      </c>
      <c r="C113">
        <v>15.72</v>
      </c>
      <c r="D113">
        <v>0.48</v>
      </c>
      <c r="E113">
        <v>30.72</v>
      </c>
      <c r="F113" s="3">
        <f t="shared" si="7"/>
        <v>0</v>
      </c>
      <c r="G113" s="3">
        <f t="shared" si="5"/>
        <v>-6.36</v>
      </c>
      <c r="H113" s="3">
        <f t="shared" si="6"/>
        <v>40.449600000000004</v>
      </c>
    </row>
    <row r="114" spans="1:8" x14ac:dyDescent="0.3">
      <c r="A114" t="s">
        <v>133</v>
      </c>
      <c r="B114">
        <v>23.76</v>
      </c>
      <c r="C114">
        <v>306.48</v>
      </c>
      <c r="D114">
        <v>32.28</v>
      </c>
      <c r="E114">
        <v>6.6</v>
      </c>
      <c r="F114" s="3">
        <f t="shared" si="7"/>
        <v>0</v>
      </c>
      <c r="G114" s="3">
        <f t="shared" si="5"/>
        <v>-23.76</v>
      </c>
      <c r="H114" s="3">
        <f t="shared" si="6"/>
        <v>564.53760000000011</v>
      </c>
    </row>
    <row r="115" spans="1:8" x14ac:dyDescent="0.3">
      <c r="A115" t="s">
        <v>134</v>
      </c>
      <c r="B115">
        <v>16.079999999999998</v>
      </c>
      <c r="C115">
        <v>270.95999999999998</v>
      </c>
      <c r="D115">
        <v>9.84</v>
      </c>
      <c r="E115">
        <v>67.8</v>
      </c>
      <c r="F115" s="3">
        <f t="shared" si="7"/>
        <v>0</v>
      </c>
      <c r="G115" s="3">
        <f t="shared" si="5"/>
        <v>-16.079999999999998</v>
      </c>
      <c r="H115" s="3">
        <f t="shared" si="6"/>
        <v>258.56639999999993</v>
      </c>
    </row>
    <row r="116" spans="1:8" x14ac:dyDescent="0.3">
      <c r="A116" t="s">
        <v>135</v>
      </c>
      <c r="B116">
        <v>26.16</v>
      </c>
      <c r="C116">
        <v>290.04000000000002</v>
      </c>
      <c r="D116">
        <v>45.6</v>
      </c>
      <c r="E116">
        <v>27.84</v>
      </c>
      <c r="F116" s="3">
        <f t="shared" si="7"/>
        <v>0</v>
      </c>
      <c r="G116" s="3">
        <f t="shared" si="5"/>
        <v>-26.16</v>
      </c>
      <c r="H116" s="3">
        <f t="shared" si="6"/>
        <v>684.34559999999999</v>
      </c>
    </row>
    <row r="117" spans="1:8" x14ac:dyDescent="0.3">
      <c r="A117" t="s">
        <v>136</v>
      </c>
      <c r="B117">
        <v>16.920000000000002</v>
      </c>
      <c r="C117">
        <v>210.84</v>
      </c>
      <c r="D117">
        <v>18.48</v>
      </c>
      <c r="E117">
        <v>2.88</v>
      </c>
      <c r="F117" s="3">
        <f t="shared" si="7"/>
        <v>0</v>
      </c>
      <c r="G117" s="3">
        <f t="shared" si="5"/>
        <v>-16.920000000000002</v>
      </c>
      <c r="H117" s="3">
        <f t="shared" si="6"/>
        <v>286.28640000000007</v>
      </c>
    </row>
    <row r="118" spans="1:8" x14ac:dyDescent="0.3">
      <c r="A118" t="s">
        <v>137</v>
      </c>
      <c r="B118">
        <v>19.079999999999998</v>
      </c>
      <c r="C118">
        <v>251.52</v>
      </c>
      <c r="D118">
        <v>24.72</v>
      </c>
      <c r="E118">
        <v>12.84</v>
      </c>
      <c r="F118" s="3">
        <f t="shared" si="7"/>
        <v>0</v>
      </c>
      <c r="G118" s="3">
        <f t="shared" si="5"/>
        <v>-19.079999999999998</v>
      </c>
      <c r="H118" s="3">
        <f t="shared" si="6"/>
        <v>364.04639999999995</v>
      </c>
    </row>
    <row r="119" spans="1:8" x14ac:dyDescent="0.3">
      <c r="A119" t="s">
        <v>138</v>
      </c>
      <c r="B119">
        <v>17.52</v>
      </c>
      <c r="C119">
        <v>93.84</v>
      </c>
      <c r="D119">
        <v>56.16</v>
      </c>
      <c r="E119">
        <v>41.4</v>
      </c>
      <c r="F119" s="3">
        <f t="shared" si="7"/>
        <v>0</v>
      </c>
      <c r="G119" s="3">
        <f t="shared" si="5"/>
        <v>-17.52</v>
      </c>
      <c r="H119" s="3">
        <f t="shared" si="6"/>
        <v>306.9504</v>
      </c>
    </row>
    <row r="120" spans="1:8" x14ac:dyDescent="0.3">
      <c r="A120" t="s">
        <v>139</v>
      </c>
      <c r="B120">
        <v>15.12</v>
      </c>
      <c r="C120">
        <v>90.12</v>
      </c>
      <c r="D120">
        <v>42</v>
      </c>
      <c r="E120">
        <v>63.24</v>
      </c>
      <c r="F120" s="3">
        <f t="shared" si="7"/>
        <v>0</v>
      </c>
      <c r="G120" s="3">
        <f t="shared" si="5"/>
        <v>-15.12</v>
      </c>
      <c r="H120" s="3">
        <f t="shared" si="6"/>
        <v>228.61439999999999</v>
      </c>
    </row>
    <row r="121" spans="1:8" x14ac:dyDescent="0.3">
      <c r="A121" t="s">
        <v>140</v>
      </c>
      <c r="B121">
        <v>14.64</v>
      </c>
      <c r="C121">
        <v>167.04</v>
      </c>
      <c r="D121">
        <v>17.16</v>
      </c>
      <c r="E121">
        <v>30.72</v>
      </c>
      <c r="F121" s="3">
        <f t="shared" si="7"/>
        <v>0</v>
      </c>
      <c r="G121" s="3">
        <f t="shared" si="5"/>
        <v>-14.64</v>
      </c>
      <c r="H121" s="3">
        <f t="shared" si="6"/>
        <v>214.32960000000003</v>
      </c>
    </row>
    <row r="122" spans="1:8" x14ac:dyDescent="0.3">
      <c r="A122" t="s">
        <v>141</v>
      </c>
      <c r="B122">
        <v>11.28</v>
      </c>
      <c r="C122">
        <v>91.68</v>
      </c>
      <c r="D122">
        <v>0.96</v>
      </c>
      <c r="E122">
        <v>17.760000000000002</v>
      </c>
      <c r="F122" s="3">
        <f t="shared" si="7"/>
        <v>0</v>
      </c>
      <c r="G122" s="3">
        <f t="shared" si="5"/>
        <v>-11.28</v>
      </c>
      <c r="H122" s="3">
        <f t="shared" si="6"/>
        <v>127.23839999999998</v>
      </c>
    </row>
    <row r="123" spans="1:8" x14ac:dyDescent="0.3">
      <c r="A123" t="s">
        <v>142</v>
      </c>
      <c r="B123">
        <v>19.079999999999998</v>
      </c>
      <c r="C123">
        <v>150.84</v>
      </c>
      <c r="D123">
        <v>44.28</v>
      </c>
      <c r="E123">
        <v>95.04</v>
      </c>
      <c r="F123" s="3">
        <f t="shared" si="7"/>
        <v>0</v>
      </c>
      <c r="G123" s="3">
        <f t="shared" si="5"/>
        <v>-19.079999999999998</v>
      </c>
      <c r="H123" s="3">
        <f t="shared" si="6"/>
        <v>364.04639999999995</v>
      </c>
    </row>
    <row r="124" spans="1:8" x14ac:dyDescent="0.3">
      <c r="A124" t="s">
        <v>143</v>
      </c>
      <c r="B124">
        <v>7.92</v>
      </c>
      <c r="C124">
        <v>23.28</v>
      </c>
      <c r="D124">
        <v>19.2</v>
      </c>
      <c r="E124">
        <v>26.76</v>
      </c>
      <c r="F124" s="3">
        <f t="shared" si="7"/>
        <v>0</v>
      </c>
      <c r="G124" s="3">
        <f t="shared" si="5"/>
        <v>-7.92</v>
      </c>
      <c r="H124" s="3">
        <f t="shared" si="6"/>
        <v>62.726399999999998</v>
      </c>
    </row>
    <row r="125" spans="1:8" x14ac:dyDescent="0.3">
      <c r="A125" t="s">
        <v>144</v>
      </c>
      <c r="B125">
        <v>18.600000000000001</v>
      </c>
      <c r="C125">
        <v>169.56</v>
      </c>
      <c r="D125">
        <v>32.159999999999997</v>
      </c>
      <c r="E125">
        <v>55.44</v>
      </c>
      <c r="F125" s="3">
        <f t="shared" si="7"/>
        <v>0</v>
      </c>
      <c r="G125" s="3">
        <f t="shared" si="5"/>
        <v>-18.600000000000001</v>
      </c>
      <c r="H125" s="3">
        <f t="shared" si="6"/>
        <v>345.96000000000004</v>
      </c>
    </row>
    <row r="126" spans="1:8" x14ac:dyDescent="0.3">
      <c r="A126" t="s">
        <v>145</v>
      </c>
      <c r="B126">
        <v>8.4</v>
      </c>
      <c r="C126">
        <v>22.56</v>
      </c>
      <c r="D126">
        <v>26.04</v>
      </c>
      <c r="E126">
        <v>60.48</v>
      </c>
      <c r="F126" s="3">
        <f t="shared" si="7"/>
        <v>0</v>
      </c>
      <c r="G126" s="3">
        <f t="shared" si="5"/>
        <v>-8.4</v>
      </c>
      <c r="H126" s="3">
        <f t="shared" si="6"/>
        <v>70.56</v>
      </c>
    </row>
    <row r="127" spans="1:8" x14ac:dyDescent="0.3">
      <c r="A127" t="s">
        <v>146</v>
      </c>
      <c r="B127">
        <v>13.92</v>
      </c>
      <c r="C127">
        <v>268.8</v>
      </c>
      <c r="D127">
        <v>2.88</v>
      </c>
      <c r="E127">
        <v>18.72</v>
      </c>
      <c r="F127" s="3">
        <f t="shared" si="7"/>
        <v>0</v>
      </c>
      <c r="G127" s="3">
        <f t="shared" si="5"/>
        <v>-13.92</v>
      </c>
      <c r="H127" s="3">
        <f t="shared" si="6"/>
        <v>193.7664</v>
      </c>
    </row>
    <row r="128" spans="1:8" x14ac:dyDescent="0.3">
      <c r="A128" t="s">
        <v>147</v>
      </c>
      <c r="B128">
        <v>18.239999999999998</v>
      </c>
      <c r="C128">
        <v>147.72</v>
      </c>
      <c r="D128">
        <v>41.52</v>
      </c>
      <c r="E128">
        <v>14.88</v>
      </c>
      <c r="F128" s="3">
        <f t="shared" si="7"/>
        <v>0</v>
      </c>
      <c r="G128" s="3">
        <f t="shared" si="5"/>
        <v>-18.239999999999998</v>
      </c>
      <c r="H128" s="3">
        <f t="shared" si="6"/>
        <v>332.69759999999997</v>
      </c>
    </row>
    <row r="129" spans="1:8" x14ac:dyDescent="0.3">
      <c r="A129" t="s">
        <v>148</v>
      </c>
      <c r="B129">
        <v>23.64</v>
      </c>
      <c r="C129">
        <v>275.39999999999998</v>
      </c>
      <c r="D129">
        <v>38.76</v>
      </c>
      <c r="E129">
        <v>89.04</v>
      </c>
      <c r="F129" s="3">
        <f t="shared" si="7"/>
        <v>0</v>
      </c>
      <c r="G129" s="3">
        <f t="shared" si="5"/>
        <v>-23.64</v>
      </c>
      <c r="H129" s="3">
        <f t="shared" si="6"/>
        <v>558.84960000000001</v>
      </c>
    </row>
    <row r="130" spans="1:8" x14ac:dyDescent="0.3">
      <c r="A130" t="s">
        <v>149</v>
      </c>
      <c r="B130">
        <v>12.72</v>
      </c>
      <c r="C130">
        <v>104.64</v>
      </c>
      <c r="D130">
        <v>14.16</v>
      </c>
      <c r="E130">
        <v>31.08</v>
      </c>
      <c r="F130" s="3">
        <f t="shared" si="7"/>
        <v>0</v>
      </c>
      <c r="G130" s="3">
        <f t="shared" si="5"/>
        <v>-12.72</v>
      </c>
      <c r="H130" s="3">
        <f t="shared" si="6"/>
        <v>161.79840000000002</v>
      </c>
    </row>
    <row r="131" spans="1:8" x14ac:dyDescent="0.3">
      <c r="A131" t="s">
        <v>150</v>
      </c>
      <c r="B131">
        <v>7.92</v>
      </c>
      <c r="C131">
        <v>9.36</v>
      </c>
      <c r="D131">
        <v>46.68</v>
      </c>
      <c r="E131">
        <v>60.72</v>
      </c>
      <c r="F131" s="3">
        <f t="shared" si="7"/>
        <v>0</v>
      </c>
      <c r="G131" s="3">
        <f t="shared" si="5"/>
        <v>-7.92</v>
      </c>
      <c r="H131" s="3">
        <f t="shared" si="6"/>
        <v>62.726399999999998</v>
      </c>
    </row>
    <row r="132" spans="1:8" x14ac:dyDescent="0.3">
      <c r="A132" t="s">
        <v>151</v>
      </c>
      <c r="B132">
        <v>10.56</v>
      </c>
      <c r="C132">
        <v>96.24</v>
      </c>
      <c r="D132">
        <v>0</v>
      </c>
      <c r="E132">
        <v>11.04</v>
      </c>
      <c r="F132" s="3">
        <f t="shared" si="7"/>
        <v>0</v>
      </c>
      <c r="G132" s="3">
        <f t="shared" si="5"/>
        <v>-10.56</v>
      </c>
      <c r="H132" s="3">
        <f t="shared" si="6"/>
        <v>111.51360000000001</v>
      </c>
    </row>
    <row r="133" spans="1:8" x14ac:dyDescent="0.3">
      <c r="A133" t="s">
        <v>152</v>
      </c>
      <c r="B133">
        <v>29.64</v>
      </c>
      <c r="C133">
        <v>264.36</v>
      </c>
      <c r="D133">
        <v>58.8</v>
      </c>
      <c r="E133">
        <v>3.84</v>
      </c>
      <c r="F133" s="3">
        <f t="shared" ref="F133:F164" si="8">$B$2+SUMPRODUCT($C$2:$E$2,C133:E133)</f>
        <v>0</v>
      </c>
      <c r="G133" s="3">
        <f t="shared" si="5"/>
        <v>-29.64</v>
      </c>
      <c r="H133" s="3">
        <f t="shared" si="6"/>
        <v>878.52960000000007</v>
      </c>
    </row>
    <row r="134" spans="1:8" x14ac:dyDescent="0.3">
      <c r="A134" t="s">
        <v>153</v>
      </c>
      <c r="B134">
        <v>11.64</v>
      </c>
      <c r="C134">
        <v>71.52</v>
      </c>
      <c r="D134">
        <v>14.4</v>
      </c>
      <c r="E134">
        <v>51.72</v>
      </c>
      <c r="F134" s="3">
        <f t="shared" si="8"/>
        <v>0</v>
      </c>
      <c r="G134" s="3">
        <f t="shared" ref="G134:G197" si="9">F134-B134</f>
        <v>-11.64</v>
      </c>
      <c r="H134" s="3">
        <f t="shared" ref="H134:H197" si="10">G134^2</f>
        <v>135.48960000000002</v>
      </c>
    </row>
    <row r="135" spans="1:8" x14ac:dyDescent="0.3">
      <c r="A135" t="s">
        <v>154</v>
      </c>
      <c r="B135">
        <v>1.92</v>
      </c>
      <c r="C135">
        <v>0.84</v>
      </c>
      <c r="D135">
        <v>47.52</v>
      </c>
      <c r="E135">
        <v>10.44</v>
      </c>
      <c r="F135" s="3">
        <f t="shared" si="8"/>
        <v>0</v>
      </c>
      <c r="G135" s="3">
        <f t="shared" si="9"/>
        <v>-1.92</v>
      </c>
      <c r="H135" s="3">
        <f t="shared" si="10"/>
        <v>3.6863999999999999</v>
      </c>
    </row>
    <row r="136" spans="1:8" x14ac:dyDescent="0.3">
      <c r="A136" t="s">
        <v>155</v>
      </c>
      <c r="B136">
        <v>15.24</v>
      </c>
      <c r="C136">
        <v>318.24</v>
      </c>
      <c r="D136">
        <v>3.48</v>
      </c>
      <c r="E136">
        <v>51.6</v>
      </c>
      <c r="F136" s="3">
        <f t="shared" si="8"/>
        <v>0</v>
      </c>
      <c r="G136" s="3">
        <f t="shared" si="9"/>
        <v>-15.24</v>
      </c>
      <c r="H136" s="3">
        <f t="shared" si="10"/>
        <v>232.2576</v>
      </c>
    </row>
    <row r="137" spans="1:8" x14ac:dyDescent="0.3">
      <c r="A137" t="s">
        <v>156</v>
      </c>
      <c r="B137">
        <v>6.84</v>
      </c>
      <c r="C137">
        <v>10.08</v>
      </c>
      <c r="D137">
        <v>32.64</v>
      </c>
      <c r="E137">
        <v>2.52</v>
      </c>
      <c r="F137" s="3">
        <f t="shared" si="8"/>
        <v>0</v>
      </c>
      <c r="G137" s="3">
        <f t="shared" si="9"/>
        <v>-6.84</v>
      </c>
      <c r="H137" s="3">
        <f t="shared" si="10"/>
        <v>46.785599999999995</v>
      </c>
    </row>
    <row r="138" spans="1:8" x14ac:dyDescent="0.3">
      <c r="A138" t="s">
        <v>157</v>
      </c>
      <c r="B138">
        <v>23.52</v>
      </c>
      <c r="C138">
        <v>263.76</v>
      </c>
      <c r="D138">
        <v>40.200000000000003</v>
      </c>
      <c r="E138">
        <v>54.12</v>
      </c>
      <c r="F138" s="3">
        <f t="shared" si="8"/>
        <v>0</v>
      </c>
      <c r="G138" s="3">
        <f t="shared" si="9"/>
        <v>-23.52</v>
      </c>
      <c r="H138" s="3">
        <f t="shared" si="10"/>
        <v>553.19039999999995</v>
      </c>
    </row>
    <row r="139" spans="1:8" x14ac:dyDescent="0.3">
      <c r="A139" t="s">
        <v>158</v>
      </c>
      <c r="B139">
        <v>12.96</v>
      </c>
      <c r="C139">
        <v>44.28</v>
      </c>
      <c r="D139">
        <v>46.32</v>
      </c>
      <c r="E139">
        <v>78.72</v>
      </c>
      <c r="F139" s="3">
        <f t="shared" si="8"/>
        <v>0</v>
      </c>
      <c r="G139" s="3">
        <f t="shared" si="9"/>
        <v>-12.96</v>
      </c>
      <c r="H139" s="3">
        <f t="shared" si="10"/>
        <v>167.96160000000003</v>
      </c>
    </row>
    <row r="140" spans="1:8" x14ac:dyDescent="0.3">
      <c r="A140" t="s">
        <v>159</v>
      </c>
      <c r="B140">
        <v>13.92</v>
      </c>
      <c r="C140">
        <v>57.96</v>
      </c>
      <c r="D140">
        <v>56.4</v>
      </c>
      <c r="E140">
        <v>10.199999999999999</v>
      </c>
      <c r="F140" s="3">
        <f t="shared" si="8"/>
        <v>0</v>
      </c>
      <c r="G140" s="3">
        <f t="shared" si="9"/>
        <v>-13.92</v>
      </c>
      <c r="H140" s="3">
        <f t="shared" si="10"/>
        <v>193.7664</v>
      </c>
    </row>
    <row r="141" spans="1:8" x14ac:dyDescent="0.3">
      <c r="A141" t="s">
        <v>160</v>
      </c>
      <c r="B141">
        <v>11.4</v>
      </c>
      <c r="C141">
        <v>30.72</v>
      </c>
      <c r="D141">
        <v>46.8</v>
      </c>
      <c r="E141">
        <v>11.16</v>
      </c>
      <c r="F141" s="3">
        <f t="shared" si="8"/>
        <v>0</v>
      </c>
      <c r="G141" s="3">
        <f t="shared" si="9"/>
        <v>-11.4</v>
      </c>
      <c r="H141" s="3">
        <f t="shared" si="10"/>
        <v>129.96</v>
      </c>
    </row>
    <row r="142" spans="1:8" x14ac:dyDescent="0.3">
      <c r="A142" t="s">
        <v>161</v>
      </c>
      <c r="B142">
        <v>24.96</v>
      </c>
      <c r="C142">
        <v>328.44</v>
      </c>
      <c r="D142">
        <v>34.68</v>
      </c>
      <c r="E142">
        <v>71.64</v>
      </c>
      <c r="F142" s="3">
        <f t="shared" si="8"/>
        <v>0</v>
      </c>
      <c r="G142" s="3">
        <f t="shared" si="9"/>
        <v>-24.96</v>
      </c>
      <c r="H142" s="3">
        <f t="shared" si="10"/>
        <v>623.00160000000005</v>
      </c>
    </row>
    <row r="143" spans="1:8" x14ac:dyDescent="0.3">
      <c r="A143" t="s">
        <v>162</v>
      </c>
      <c r="B143">
        <v>11.52</v>
      </c>
      <c r="C143">
        <v>51.6</v>
      </c>
      <c r="D143">
        <v>31.08</v>
      </c>
      <c r="E143">
        <v>24.6</v>
      </c>
      <c r="F143" s="3">
        <f t="shared" si="8"/>
        <v>0</v>
      </c>
      <c r="G143" s="3">
        <f t="shared" si="9"/>
        <v>-11.52</v>
      </c>
      <c r="H143" s="3">
        <f t="shared" si="10"/>
        <v>132.71039999999999</v>
      </c>
    </row>
    <row r="144" spans="1:8" x14ac:dyDescent="0.3">
      <c r="A144" t="s">
        <v>163</v>
      </c>
      <c r="B144">
        <v>24.84</v>
      </c>
      <c r="C144">
        <v>221.88</v>
      </c>
      <c r="D144">
        <v>52.68</v>
      </c>
      <c r="E144">
        <v>2.04</v>
      </c>
      <c r="F144" s="3">
        <f t="shared" si="8"/>
        <v>0</v>
      </c>
      <c r="G144" s="3">
        <f t="shared" si="9"/>
        <v>-24.84</v>
      </c>
      <c r="H144" s="3">
        <f t="shared" si="10"/>
        <v>617.02559999999994</v>
      </c>
    </row>
    <row r="145" spans="1:8" x14ac:dyDescent="0.3">
      <c r="A145" t="s">
        <v>164</v>
      </c>
      <c r="B145">
        <v>13.08</v>
      </c>
      <c r="C145">
        <v>88.08</v>
      </c>
      <c r="D145">
        <v>20.399999999999999</v>
      </c>
      <c r="E145">
        <v>15.48</v>
      </c>
      <c r="F145" s="3">
        <f t="shared" si="8"/>
        <v>0</v>
      </c>
      <c r="G145" s="3">
        <f t="shared" si="9"/>
        <v>-13.08</v>
      </c>
      <c r="H145" s="3">
        <f t="shared" si="10"/>
        <v>171.0864</v>
      </c>
    </row>
    <row r="146" spans="1:8" x14ac:dyDescent="0.3">
      <c r="A146" t="s">
        <v>165</v>
      </c>
      <c r="B146">
        <v>23.04</v>
      </c>
      <c r="C146">
        <v>232.44</v>
      </c>
      <c r="D146">
        <v>42.48</v>
      </c>
      <c r="E146">
        <v>90.72</v>
      </c>
      <c r="F146" s="3">
        <f t="shared" si="8"/>
        <v>0</v>
      </c>
      <c r="G146" s="3">
        <f t="shared" si="9"/>
        <v>-23.04</v>
      </c>
      <c r="H146" s="3">
        <f t="shared" si="10"/>
        <v>530.84159999999997</v>
      </c>
    </row>
    <row r="147" spans="1:8" x14ac:dyDescent="0.3">
      <c r="A147" t="s">
        <v>166</v>
      </c>
      <c r="B147">
        <v>24.12</v>
      </c>
      <c r="C147">
        <v>264.60000000000002</v>
      </c>
      <c r="D147">
        <v>39.840000000000003</v>
      </c>
      <c r="E147">
        <v>45.48</v>
      </c>
      <c r="F147" s="3">
        <f t="shared" si="8"/>
        <v>0</v>
      </c>
      <c r="G147" s="3">
        <f t="shared" si="9"/>
        <v>-24.12</v>
      </c>
      <c r="H147" s="3">
        <f t="shared" si="10"/>
        <v>581.77440000000001</v>
      </c>
    </row>
    <row r="148" spans="1:8" x14ac:dyDescent="0.3">
      <c r="A148" t="s">
        <v>167</v>
      </c>
      <c r="B148">
        <v>12.48</v>
      </c>
      <c r="C148">
        <v>125.52</v>
      </c>
      <c r="D148">
        <v>6.84</v>
      </c>
      <c r="E148">
        <v>41.28</v>
      </c>
      <c r="F148" s="3">
        <f t="shared" si="8"/>
        <v>0</v>
      </c>
      <c r="G148" s="3">
        <f t="shared" si="9"/>
        <v>-12.48</v>
      </c>
      <c r="H148" s="3">
        <f t="shared" si="10"/>
        <v>155.75040000000001</v>
      </c>
    </row>
    <row r="149" spans="1:8" x14ac:dyDescent="0.3">
      <c r="A149" t="s">
        <v>168</v>
      </c>
      <c r="B149">
        <v>13.68</v>
      </c>
      <c r="C149">
        <v>115.44</v>
      </c>
      <c r="D149">
        <v>17.760000000000002</v>
      </c>
      <c r="E149">
        <v>46.68</v>
      </c>
      <c r="F149" s="3">
        <f t="shared" si="8"/>
        <v>0</v>
      </c>
      <c r="G149" s="3">
        <f t="shared" si="9"/>
        <v>-13.68</v>
      </c>
      <c r="H149" s="3">
        <f t="shared" si="10"/>
        <v>187.14239999999998</v>
      </c>
    </row>
    <row r="150" spans="1:8" x14ac:dyDescent="0.3">
      <c r="A150" t="s">
        <v>169</v>
      </c>
      <c r="B150">
        <v>12.36</v>
      </c>
      <c r="C150">
        <v>168.36</v>
      </c>
      <c r="D150">
        <v>2.2799999999999998</v>
      </c>
      <c r="E150">
        <v>10.8</v>
      </c>
      <c r="F150" s="3">
        <f t="shared" si="8"/>
        <v>0</v>
      </c>
      <c r="G150" s="3">
        <f t="shared" si="9"/>
        <v>-12.36</v>
      </c>
      <c r="H150" s="3">
        <f t="shared" si="10"/>
        <v>152.7696</v>
      </c>
    </row>
    <row r="151" spans="1:8" x14ac:dyDescent="0.3">
      <c r="A151" t="s">
        <v>170</v>
      </c>
      <c r="B151">
        <v>15.84</v>
      </c>
      <c r="C151">
        <v>288.12</v>
      </c>
      <c r="D151">
        <v>8.76</v>
      </c>
      <c r="E151">
        <v>10.44</v>
      </c>
      <c r="F151" s="3">
        <f t="shared" si="8"/>
        <v>0</v>
      </c>
      <c r="G151" s="3">
        <f t="shared" si="9"/>
        <v>-15.84</v>
      </c>
      <c r="H151" s="3">
        <f t="shared" si="10"/>
        <v>250.90559999999999</v>
      </c>
    </row>
    <row r="152" spans="1:8" x14ac:dyDescent="0.3">
      <c r="A152" t="s">
        <v>171</v>
      </c>
      <c r="B152">
        <v>30.48</v>
      </c>
      <c r="C152">
        <v>291.83999999999997</v>
      </c>
      <c r="D152">
        <v>58.8</v>
      </c>
      <c r="E152">
        <v>53.16</v>
      </c>
      <c r="F152" s="3">
        <f t="shared" si="8"/>
        <v>0</v>
      </c>
      <c r="G152" s="3">
        <f t="shared" si="9"/>
        <v>-30.48</v>
      </c>
      <c r="H152" s="3">
        <f t="shared" si="10"/>
        <v>929.03039999999999</v>
      </c>
    </row>
    <row r="153" spans="1:8" x14ac:dyDescent="0.3">
      <c r="A153" t="s">
        <v>172</v>
      </c>
      <c r="B153">
        <v>13.08</v>
      </c>
      <c r="C153">
        <v>45.6</v>
      </c>
      <c r="D153">
        <v>48.36</v>
      </c>
      <c r="E153">
        <v>14.28</v>
      </c>
      <c r="F153" s="3">
        <f t="shared" si="8"/>
        <v>0</v>
      </c>
      <c r="G153" s="3">
        <f t="shared" si="9"/>
        <v>-13.08</v>
      </c>
      <c r="H153" s="3">
        <f t="shared" si="10"/>
        <v>171.0864</v>
      </c>
    </row>
    <row r="154" spans="1:8" x14ac:dyDescent="0.3">
      <c r="A154" t="s">
        <v>173</v>
      </c>
      <c r="B154">
        <v>12.12</v>
      </c>
      <c r="C154">
        <v>53.64</v>
      </c>
      <c r="D154">
        <v>30.96</v>
      </c>
      <c r="E154">
        <v>24.72</v>
      </c>
      <c r="F154" s="3">
        <f t="shared" si="8"/>
        <v>0</v>
      </c>
      <c r="G154" s="3">
        <f t="shared" si="9"/>
        <v>-12.12</v>
      </c>
      <c r="H154" s="3">
        <f t="shared" si="10"/>
        <v>146.89439999999999</v>
      </c>
    </row>
    <row r="155" spans="1:8" x14ac:dyDescent="0.3">
      <c r="A155" t="s">
        <v>174</v>
      </c>
      <c r="B155">
        <v>19.32</v>
      </c>
      <c r="C155">
        <v>336.84</v>
      </c>
      <c r="D155">
        <v>16.68</v>
      </c>
      <c r="E155">
        <v>44.4</v>
      </c>
      <c r="F155" s="3">
        <f t="shared" si="8"/>
        <v>0</v>
      </c>
      <c r="G155" s="3">
        <f t="shared" si="9"/>
        <v>-19.32</v>
      </c>
      <c r="H155" s="3">
        <f t="shared" si="10"/>
        <v>373.26240000000001</v>
      </c>
    </row>
    <row r="156" spans="1:8" x14ac:dyDescent="0.3">
      <c r="A156" t="s">
        <v>175</v>
      </c>
      <c r="B156">
        <v>13.92</v>
      </c>
      <c r="C156">
        <v>145.19999999999999</v>
      </c>
      <c r="D156">
        <v>10.08</v>
      </c>
      <c r="E156">
        <v>58.44</v>
      </c>
      <c r="F156" s="3">
        <f t="shared" si="8"/>
        <v>0</v>
      </c>
      <c r="G156" s="3">
        <f t="shared" si="9"/>
        <v>-13.92</v>
      </c>
      <c r="H156" s="3">
        <f t="shared" si="10"/>
        <v>193.7664</v>
      </c>
    </row>
    <row r="157" spans="1:8" x14ac:dyDescent="0.3">
      <c r="A157" t="s">
        <v>176</v>
      </c>
      <c r="B157">
        <v>19.920000000000002</v>
      </c>
      <c r="C157">
        <v>237.12</v>
      </c>
      <c r="D157">
        <v>27.96</v>
      </c>
      <c r="E157">
        <v>17.04</v>
      </c>
      <c r="F157" s="3">
        <f t="shared" si="8"/>
        <v>0</v>
      </c>
      <c r="G157" s="3">
        <f t="shared" si="9"/>
        <v>-19.920000000000002</v>
      </c>
      <c r="H157" s="3">
        <f t="shared" si="10"/>
        <v>396.80640000000005</v>
      </c>
    </row>
    <row r="158" spans="1:8" x14ac:dyDescent="0.3">
      <c r="A158" t="s">
        <v>177</v>
      </c>
      <c r="B158">
        <v>22.8</v>
      </c>
      <c r="C158">
        <v>205.56</v>
      </c>
      <c r="D158">
        <v>47.64</v>
      </c>
      <c r="E158">
        <v>45.24</v>
      </c>
      <c r="F158" s="3">
        <f t="shared" si="8"/>
        <v>0</v>
      </c>
      <c r="G158" s="3">
        <f t="shared" si="9"/>
        <v>-22.8</v>
      </c>
      <c r="H158" s="3">
        <f t="shared" si="10"/>
        <v>519.84</v>
      </c>
    </row>
    <row r="159" spans="1:8" x14ac:dyDescent="0.3">
      <c r="A159" t="s">
        <v>178</v>
      </c>
      <c r="B159">
        <v>18.72</v>
      </c>
      <c r="C159">
        <v>225.36</v>
      </c>
      <c r="D159">
        <v>25.32</v>
      </c>
      <c r="E159">
        <v>11.4</v>
      </c>
      <c r="F159" s="3">
        <f t="shared" si="8"/>
        <v>0</v>
      </c>
      <c r="G159" s="3">
        <f t="shared" si="9"/>
        <v>-18.72</v>
      </c>
      <c r="H159" s="3">
        <f t="shared" si="10"/>
        <v>350.43839999999994</v>
      </c>
    </row>
    <row r="160" spans="1:8" x14ac:dyDescent="0.3">
      <c r="A160" t="s">
        <v>179</v>
      </c>
      <c r="B160">
        <v>3.84</v>
      </c>
      <c r="C160">
        <v>4.92</v>
      </c>
      <c r="D160">
        <v>13.92</v>
      </c>
      <c r="E160">
        <v>6.84</v>
      </c>
      <c r="F160" s="3">
        <f t="shared" si="8"/>
        <v>0</v>
      </c>
      <c r="G160" s="3">
        <f t="shared" si="9"/>
        <v>-3.84</v>
      </c>
      <c r="H160" s="3">
        <f t="shared" si="10"/>
        <v>14.7456</v>
      </c>
    </row>
    <row r="161" spans="1:8" x14ac:dyDescent="0.3">
      <c r="A161" t="s">
        <v>180</v>
      </c>
      <c r="B161">
        <v>18.36</v>
      </c>
      <c r="C161">
        <v>112.68</v>
      </c>
      <c r="D161">
        <v>52.2</v>
      </c>
      <c r="E161">
        <v>60.6</v>
      </c>
      <c r="F161" s="3">
        <f t="shared" si="8"/>
        <v>0</v>
      </c>
      <c r="G161" s="3">
        <f t="shared" si="9"/>
        <v>-18.36</v>
      </c>
      <c r="H161" s="3">
        <f t="shared" si="10"/>
        <v>337.08959999999996</v>
      </c>
    </row>
    <row r="162" spans="1:8" x14ac:dyDescent="0.3">
      <c r="A162" t="s">
        <v>181</v>
      </c>
      <c r="B162">
        <v>12.12</v>
      </c>
      <c r="C162">
        <v>179.76</v>
      </c>
      <c r="D162">
        <v>1.56</v>
      </c>
      <c r="E162">
        <v>29.16</v>
      </c>
      <c r="F162" s="3">
        <f t="shared" si="8"/>
        <v>0</v>
      </c>
      <c r="G162" s="3">
        <f t="shared" si="9"/>
        <v>-12.12</v>
      </c>
      <c r="H162" s="3">
        <f t="shared" si="10"/>
        <v>146.89439999999999</v>
      </c>
    </row>
    <row r="163" spans="1:8" x14ac:dyDescent="0.3">
      <c r="A163" t="s">
        <v>182</v>
      </c>
      <c r="B163">
        <v>8.76</v>
      </c>
      <c r="C163">
        <v>14.04</v>
      </c>
      <c r="D163">
        <v>44.28</v>
      </c>
      <c r="E163">
        <v>54.24</v>
      </c>
      <c r="F163" s="3">
        <f t="shared" si="8"/>
        <v>0</v>
      </c>
      <c r="G163" s="3">
        <f t="shared" si="9"/>
        <v>-8.76</v>
      </c>
      <c r="H163" s="3">
        <f t="shared" si="10"/>
        <v>76.7376</v>
      </c>
    </row>
    <row r="164" spans="1:8" x14ac:dyDescent="0.3">
      <c r="A164" t="s">
        <v>183</v>
      </c>
      <c r="B164">
        <v>15.48</v>
      </c>
      <c r="C164">
        <v>158.04</v>
      </c>
      <c r="D164">
        <v>22.08</v>
      </c>
      <c r="E164">
        <v>41.52</v>
      </c>
      <c r="F164" s="3">
        <f t="shared" si="8"/>
        <v>0</v>
      </c>
      <c r="G164" s="3">
        <f t="shared" si="9"/>
        <v>-15.48</v>
      </c>
      <c r="H164" s="3">
        <f t="shared" si="10"/>
        <v>239.63040000000001</v>
      </c>
    </row>
    <row r="165" spans="1:8" x14ac:dyDescent="0.3">
      <c r="A165" t="s">
        <v>184</v>
      </c>
      <c r="B165">
        <v>17.28</v>
      </c>
      <c r="C165">
        <v>207</v>
      </c>
      <c r="D165">
        <v>21.72</v>
      </c>
      <c r="E165">
        <v>36.840000000000003</v>
      </c>
      <c r="F165" s="3">
        <f t="shared" ref="F165:F196" si="11">$B$2+SUMPRODUCT($C$2:$E$2,C165:E165)</f>
        <v>0</v>
      </c>
      <c r="G165" s="3">
        <f t="shared" si="9"/>
        <v>-17.28</v>
      </c>
      <c r="H165" s="3">
        <f t="shared" si="10"/>
        <v>298.59840000000003</v>
      </c>
    </row>
    <row r="166" spans="1:8" x14ac:dyDescent="0.3">
      <c r="A166" t="s">
        <v>185</v>
      </c>
      <c r="B166">
        <v>15.96</v>
      </c>
      <c r="C166">
        <v>102.84</v>
      </c>
      <c r="D166">
        <v>42.96</v>
      </c>
      <c r="E166">
        <v>59.16</v>
      </c>
      <c r="F166" s="3">
        <f t="shared" si="11"/>
        <v>0</v>
      </c>
      <c r="G166" s="3">
        <f t="shared" si="9"/>
        <v>-15.96</v>
      </c>
      <c r="H166" s="3">
        <f t="shared" si="10"/>
        <v>254.72160000000002</v>
      </c>
    </row>
    <row r="167" spans="1:8" x14ac:dyDescent="0.3">
      <c r="A167" t="s">
        <v>186</v>
      </c>
      <c r="B167">
        <v>17.88</v>
      </c>
      <c r="C167">
        <v>226.08</v>
      </c>
      <c r="D167">
        <v>21.72</v>
      </c>
      <c r="E167">
        <v>30.72</v>
      </c>
      <c r="F167" s="3">
        <f t="shared" si="11"/>
        <v>0</v>
      </c>
      <c r="G167" s="3">
        <f t="shared" si="9"/>
        <v>-17.88</v>
      </c>
      <c r="H167" s="3">
        <f t="shared" si="10"/>
        <v>319.69439999999997</v>
      </c>
    </row>
    <row r="168" spans="1:8" x14ac:dyDescent="0.3">
      <c r="A168" t="s">
        <v>187</v>
      </c>
      <c r="B168">
        <v>21.6</v>
      </c>
      <c r="C168">
        <v>196.2</v>
      </c>
      <c r="D168">
        <v>44.16</v>
      </c>
      <c r="E168">
        <v>8.8800000000000008</v>
      </c>
      <c r="F168" s="3">
        <f t="shared" si="11"/>
        <v>0</v>
      </c>
      <c r="G168" s="3">
        <f t="shared" si="9"/>
        <v>-21.6</v>
      </c>
      <c r="H168" s="3">
        <f t="shared" si="10"/>
        <v>466.56000000000006</v>
      </c>
    </row>
    <row r="169" spans="1:8" x14ac:dyDescent="0.3">
      <c r="A169" t="s">
        <v>188</v>
      </c>
      <c r="B169">
        <v>14.28</v>
      </c>
      <c r="C169">
        <v>140.63999999999999</v>
      </c>
      <c r="D169">
        <v>17.64</v>
      </c>
      <c r="E169">
        <v>6.48</v>
      </c>
      <c r="F169" s="3">
        <f t="shared" si="11"/>
        <v>0</v>
      </c>
      <c r="G169" s="3">
        <f t="shared" si="9"/>
        <v>-14.28</v>
      </c>
      <c r="H169" s="3">
        <f t="shared" si="10"/>
        <v>203.91839999999999</v>
      </c>
    </row>
    <row r="170" spans="1:8" x14ac:dyDescent="0.3">
      <c r="A170" t="s">
        <v>189</v>
      </c>
      <c r="B170">
        <v>14.28</v>
      </c>
      <c r="C170">
        <v>281.39999999999998</v>
      </c>
      <c r="D170">
        <v>4.08</v>
      </c>
      <c r="E170">
        <v>101.76</v>
      </c>
      <c r="F170" s="3">
        <f t="shared" si="11"/>
        <v>0</v>
      </c>
      <c r="G170" s="3">
        <f t="shared" si="9"/>
        <v>-14.28</v>
      </c>
      <c r="H170" s="3">
        <f t="shared" si="10"/>
        <v>203.91839999999999</v>
      </c>
    </row>
    <row r="171" spans="1:8" x14ac:dyDescent="0.3">
      <c r="A171" t="s">
        <v>190</v>
      </c>
      <c r="B171">
        <v>9.6</v>
      </c>
      <c r="C171">
        <v>21.48</v>
      </c>
      <c r="D171">
        <v>45.12</v>
      </c>
      <c r="E171">
        <v>25.92</v>
      </c>
      <c r="F171" s="3">
        <f t="shared" si="11"/>
        <v>0</v>
      </c>
      <c r="G171" s="3">
        <f t="shared" si="9"/>
        <v>-9.6</v>
      </c>
      <c r="H171" s="3">
        <f t="shared" si="10"/>
        <v>92.16</v>
      </c>
    </row>
    <row r="172" spans="1:8" x14ac:dyDescent="0.3">
      <c r="A172" t="s">
        <v>191</v>
      </c>
      <c r="B172">
        <v>14.64</v>
      </c>
      <c r="C172">
        <v>248.16</v>
      </c>
      <c r="D172">
        <v>6.24</v>
      </c>
      <c r="E172">
        <v>23.28</v>
      </c>
      <c r="F172" s="3">
        <f t="shared" si="11"/>
        <v>0</v>
      </c>
      <c r="G172" s="3">
        <f t="shared" si="9"/>
        <v>-14.64</v>
      </c>
      <c r="H172" s="3">
        <f t="shared" si="10"/>
        <v>214.32960000000003</v>
      </c>
    </row>
    <row r="173" spans="1:8" x14ac:dyDescent="0.3">
      <c r="A173" t="s">
        <v>192</v>
      </c>
      <c r="B173">
        <v>20.52</v>
      </c>
      <c r="C173">
        <v>258.48</v>
      </c>
      <c r="D173">
        <v>28.32</v>
      </c>
      <c r="E173">
        <v>69.12</v>
      </c>
      <c r="F173" s="3">
        <f t="shared" si="11"/>
        <v>0</v>
      </c>
      <c r="G173" s="3">
        <f t="shared" si="9"/>
        <v>-20.52</v>
      </c>
      <c r="H173" s="3">
        <f t="shared" si="10"/>
        <v>421.07040000000001</v>
      </c>
    </row>
    <row r="174" spans="1:8" x14ac:dyDescent="0.3">
      <c r="A174" t="s">
        <v>193</v>
      </c>
      <c r="B174">
        <v>18</v>
      </c>
      <c r="C174">
        <v>341.16</v>
      </c>
      <c r="D174">
        <v>12.72</v>
      </c>
      <c r="E174">
        <v>7.68</v>
      </c>
      <c r="F174" s="3">
        <f t="shared" si="11"/>
        <v>0</v>
      </c>
      <c r="G174" s="3">
        <f t="shared" si="9"/>
        <v>-18</v>
      </c>
      <c r="H174" s="3">
        <f t="shared" si="10"/>
        <v>324</v>
      </c>
    </row>
    <row r="175" spans="1:8" x14ac:dyDescent="0.3">
      <c r="A175" t="s">
        <v>194</v>
      </c>
      <c r="B175">
        <v>10.08</v>
      </c>
      <c r="C175">
        <v>60</v>
      </c>
      <c r="D175">
        <v>13.92</v>
      </c>
      <c r="E175">
        <v>22.08</v>
      </c>
      <c r="F175" s="3">
        <f t="shared" si="11"/>
        <v>0</v>
      </c>
      <c r="G175" s="3">
        <f t="shared" si="9"/>
        <v>-10.08</v>
      </c>
      <c r="H175" s="3">
        <f t="shared" si="10"/>
        <v>101.60640000000001</v>
      </c>
    </row>
    <row r="176" spans="1:8" x14ac:dyDescent="0.3">
      <c r="A176" t="s">
        <v>195</v>
      </c>
      <c r="B176">
        <v>17.399999999999999</v>
      </c>
      <c r="C176">
        <v>197.4</v>
      </c>
      <c r="D176">
        <v>25.08</v>
      </c>
      <c r="E176">
        <v>56.88</v>
      </c>
      <c r="F176" s="3">
        <f t="shared" si="11"/>
        <v>0</v>
      </c>
      <c r="G176" s="3">
        <f t="shared" si="9"/>
        <v>-17.399999999999999</v>
      </c>
      <c r="H176" s="3">
        <f t="shared" si="10"/>
        <v>302.75999999999993</v>
      </c>
    </row>
    <row r="177" spans="1:8" x14ac:dyDescent="0.3">
      <c r="A177" t="s">
        <v>196</v>
      </c>
      <c r="B177">
        <v>9.1199999999999992</v>
      </c>
      <c r="C177">
        <v>23.52</v>
      </c>
      <c r="D177">
        <v>24.12</v>
      </c>
      <c r="E177">
        <v>20.399999999999999</v>
      </c>
      <c r="F177" s="3">
        <f t="shared" si="11"/>
        <v>0</v>
      </c>
      <c r="G177" s="3">
        <f t="shared" si="9"/>
        <v>-9.1199999999999992</v>
      </c>
      <c r="H177" s="3">
        <f t="shared" si="10"/>
        <v>83.174399999999991</v>
      </c>
    </row>
    <row r="178" spans="1:8" x14ac:dyDescent="0.3">
      <c r="A178" t="s">
        <v>197</v>
      </c>
      <c r="B178">
        <v>14.04</v>
      </c>
      <c r="C178">
        <v>202.08</v>
      </c>
      <c r="D178">
        <v>8.52</v>
      </c>
      <c r="E178">
        <v>15.36</v>
      </c>
      <c r="F178" s="3">
        <f t="shared" si="11"/>
        <v>0</v>
      </c>
      <c r="G178" s="3">
        <f t="shared" si="9"/>
        <v>-14.04</v>
      </c>
      <c r="H178" s="3">
        <f t="shared" si="10"/>
        <v>197.12159999999997</v>
      </c>
    </row>
    <row r="179" spans="1:8" x14ac:dyDescent="0.3">
      <c r="A179" t="s">
        <v>198</v>
      </c>
      <c r="B179">
        <v>13.8</v>
      </c>
      <c r="C179">
        <v>266.88</v>
      </c>
      <c r="D179">
        <v>4.08</v>
      </c>
      <c r="E179">
        <v>15.72</v>
      </c>
      <c r="F179" s="3">
        <f t="shared" si="11"/>
        <v>0</v>
      </c>
      <c r="G179" s="3">
        <f t="shared" si="9"/>
        <v>-13.8</v>
      </c>
      <c r="H179" s="3">
        <f t="shared" si="10"/>
        <v>190.44000000000003</v>
      </c>
    </row>
    <row r="180" spans="1:8" x14ac:dyDescent="0.3">
      <c r="A180" t="s">
        <v>199</v>
      </c>
      <c r="B180">
        <v>32.4</v>
      </c>
      <c r="C180">
        <v>332.28</v>
      </c>
      <c r="D180">
        <v>58.68</v>
      </c>
      <c r="E180">
        <v>50.16</v>
      </c>
      <c r="F180" s="3">
        <f t="shared" si="11"/>
        <v>0</v>
      </c>
      <c r="G180" s="3">
        <f t="shared" si="9"/>
        <v>-32.4</v>
      </c>
      <c r="H180" s="3">
        <f t="shared" si="10"/>
        <v>1049.76</v>
      </c>
    </row>
    <row r="181" spans="1:8" x14ac:dyDescent="0.3">
      <c r="A181" t="s">
        <v>200</v>
      </c>
      <c r="B181">
        <v>24.24</v>
      </c>
      <c r="C181">
        <v>298.08</v>
      </c>
      <c r="D181">
        <v>36.24</v>
      </c>
      <c r="E181">
        <v>24.36</v>
      </c>
      <c r="F181" s="3">
        <f t="shared" si="11"/>
        <v>0</v>
      </c>
      <c r="G181" s="3">
        <f t="shared" si="9"/>
        <v>-24.24</v>
      </c>
      <c r="H181" s="3">
        <f t="shared" si="10"/>
        <v>587.57759999999996</v>
      </c>
    </row>
    <row r="182" spans="1:8" x14ac:dyDescent="0.3">
      <c r="A182" t="s">
        <v>201</v>
      </c>
      <c r="B182">
        <v>14.04</v>
      </c>
      <c r="C182">
        <v>204.24</v>
      </c>
      <c r="D182">
        <v>9.36</v>
      </c>
      <c r="E182">
        <v>42.24</v>
      </c>
      <c r="F182" s="3">
        <f t="shared" si="11"/>
        <v>0</v>
      </c>
      <c r="G182" s="3">
        <f t="shared" si="9"/>
        <v>-14.04</v>
      </c>
      <c r="H182" s="3">
        <f t="shared" si="10"/>
        <v>197.12159999999997</v>
      </c>
    </row>
    <row r="183" spans="1:8" x14ac:dyDescent="0.3">
      <c r="A183" t="s">
        <v>202</v>
      </c>
      <c r="B183">
        <v>14.16</v>
      </c>
      <c r="C183">
        <v>332.04</v>
      </c>
      <c r="D183">
        <v>2.76</v>
      </c>
      <c r="E183">
        <v>28.44</v>
      </c>
      <c r="F183" s="3">
        <f t="shared" si="11"/>
        <v>0</v>
      </c>
      <c r="G183" s="3">
        <f t="shared" si="9"/>
        <v>-14.16</v>
      </c>
      <c r="H183" s="3">
        <f t="shared" si="10"/>
        <v>200.50560000000002</v>
      </c>
    </row>
    <row r="184" spans="1:8" x14ac:dyDescent="0.3">
      <c r="A184" t="s">
        <v>203</v>
      </c>
      <c r="B184">
        <v>15.12</v>
      </c>
      <c r="C184">
        <v>198.72</v>
      </c>
      <c r="D184">
        <v>12</v>
      </c>
      <c r="E184">
        <v>21.12</v>
      </c>
      <c r="F184" s="3">
        <f t="shared" si="11"/>
        <v>0</v>
      </c>
      <c r="G184" s="3">
        <f t="shared" si="9"/>
        <v>-15.12</v>
      </c>
      <c r="H184" s="3">
        <f t="shared" si="10"/>
        <v>228.61439999999999</v>
      </c>
    </row>
    <row r="185" spans="1:8" x14ac:dyDescent="0.3">
      <c r="A185" t="s">
        <v>204</v>
      </c>
      <c r="B185">
        <v>12.6</v>
      </c>
      <c r="C185">
        <v>187.92</v>
      </c>
      <c r="D185">
        <v>3.12</v>
      </c>
      <c r="E185">
        <v>9.9600000000000009</v>
      </c>
      <c r="F185" s="3">
        <f t="shared" si="11"/>
        <v>0</v>
      </c>
      <c r="G185" s="3">
        <f t="shared" si="9"/>
        <v>-12.6</v>
      </c>
      <c r="H185" s="3">
        <f t="shared" si="10"/>
        <v>158.76</v>
      </c>
    </row>
    <row r="186" spans="1:8" x14ac:dyDescent="0.3">
      <c r="A186" t="s">
        <v>205</v>
      </c>
      <c r="B186">
        <v>14.64</v>
      </c>
      <c r="C186">
        <v>262.2</v>
      </c>
      <c r="D186">
        <v>6.48</v>
      </c>
      <c r="E186">
        <v>32.880000000000003</v>
      </c>
      <c r="F186" s="3">
        <f t="shared" si="11"/>
        <v>0</v>
      </c>
      <c r="G186" s="3">
        <f t="shared" si="9"/>
        <v>-14.64</v>
      </c>
      <c r="H186" s="3">
        <f t="shared" si="10"/>
        <v>214.32960000000003</v>
      </c>
    </row>
    <row r="187" spans="1:8" x14ac:dyDescent="0.3">
      <c r="A187" t="s">
        <v>206</v>
      </c>
      <c r="B187">
        <v>10.44</v>
      </c>
      <c r="C187">
        <v>67.44</v>
      </c>
      <c r="D187">
        <v>6.84</v>
      </c>
      <c r="E187">
        <v>35.64</v>
      </c>
      <c r="F187" s="3">
        <f t="shared" si="11"/>
        <v>0</v>
      </c>
      <c r="G187" s="3">
        <f t="shared" si="9"/>
        <v>-10.44</v>
      </c>
      <c r="H187" s="3">
        <f t="shared" si="10"/>
        <v>108.99359999999999</v>
      </c>
    </row>
    <row r="188" spans="1:8" x14ac:dyDescent="0.3">
      <c r="A188" t="s">
        <v>207</v>
      </c>
      <c r="B188">
        <v>31.44</v>
      </c>
      <c r="C188">
        <v>345.12</v>
      </c>
      <c r="D188">
        <v>51.6</v>
      </c>
      <c r="E188">
        <v>86.16</v>
      </c>
      <c r="F188" s="3">
        <f t="shared" si="11"/>
        <v>0</v>
      </c>
      <c r="G188" s="3">
        <f t="shared" si="9"/>
        <v>-31.44</v>
      </c>
      <c r="H188" s="3">
        <f t="shared" si="10"/>
        <v>988.47360000000003</v>
      </c>
    </row>
    <row r="189" spans="1:8" x14ac:dyDescent="0.3">
      <c r="A189" t="s">
        <v>208</v>
      </c>
      <c r="B189">
        <v>21.12</v>
      </c>
      <c r="C189">
        <v>304.56</v>
      </c>
      <c r="D189">
        <v>25.56</v>
      </c>
      <c r="E189">
        <v>36</v>
      </c>
      <c r="F189" s="3">
        <f t="shared" si="11"/>
        <v>0</v>
      </c>
      <c r="G189" s="3">
        <f t="shared" si="9"/>
        <v>-21.12</v>
      </c>
      <c r="H189" s="3">
        <f t="shared" si="10"/>
        <v>446.05440000000004</v>
      </c>
    </row>
    <row r="190" spans="1:8" x14ac:dyDescent="0.3">
      <c r="A190" t="s">
        <v>209</v>
      </c>
      <c r="B190">
        <v>27.12</v>
      </c>
      <c r="C190">
        <v>246</v>
      </c>
      <c r="D190">
        <v>54.12</v>
      </c>
      <c r="E190">
        <v>23.52</v>
      </c>
      <c r="F190" s="3">
        <f t="shared" si="11"/>
        <v>0</v>
      </c>
      <c r="G190" s="3">
        <f t="shared" si="9"/>
        <v>-27.12</v>
      </c>
      <c r="H190" s="3">
        <f t="shared" si="10"/>
        <v>735.49440000000004</v>
      </c>
    </row>
    <row r="191" spans="1:8" x14ac:dyDescent="0.3">
      <c r="A191" t="s">
        <v>210</v>
      </c>
      <c r="B191">
        <v>12.36</v>
      </c>
      <c r="C191">
        <v>167.4</v>
      </c>
      <c r="D191">
        <v>2.52</v>
      </c>
      <c r="E191">
        <v>31.92</v>
      </c>
      <c r="F191" s="3">
        <f t="shared" si="11"/>
        <v>0</v>
      </c>
      <c r="G191" s="3">
        <f t="shared" si="9"/>
        <v>-12.36</v>
      </c>
      <c r="H191" s="3">
        <f t="shared" si="10"/>
        <v>152.7696</v>
      </c>
    </row>
    <row r="192" spans="1:8" x14ac:dyDescent="0.3">
      <c r="A192" t="s">
        <v>211</v>
      </c>
      <c r="B192">
        <v>20.76</v>
      </c>
      <c r="C192">
        <v>229.32</v>
      </c>
      <c r="D192">
        <v>34.44</v>
      </c>
      <c r="E192">
        <v>21.84</v>
      </c>
      <c r="F192" s="3">
        <f t="shared" si="11"/>
        <v>0</v>
      </c>
      <c r="G192" s="3">
        <f t="shared" si="9"/>
        <v>-20.76</v>
      </c>
      <c r="H192" s="3">
        <f t="shared" si="10"/>
        <v>430.97760000000005</v>
      </c>
    </row>
    <row r="193" spans="1:8" x14ac:dyDescent="0.3">
      <c r="A193" t="s">
        <v>212</v>
      </c>
      <c r="B193">
        <v>19.079999999999998</v>
      </c>
      <c r="C193">
        <v>343.2</v>
      </c>
      <c r="D193">
        <v>16.68</v>
      </c>
      <c r="E193">
        <v>4.4400000000000004</v>
      </c>
      <c r="F193" s="3">
        <f t="shared" si="11"/>
        <v>0</v>
      </c>
      <c r="G193" s="3">
        <f t="shared" si="9"/>
        <v>-19.079999999999998</v>
      </c>
      <c r="H193" s="3">
        <f t="shared" si="10"/>
        <v>364.04639999999995</v>
      </c>
    </row>
    <row r="194" spans="1:8" x14ac:dyDescent="0.3">
      <c r="A194" t="s">
        <v>213</v>
      </c>
      <c r="B194">
        <v>8.0399999999999991</v>
      </c>
      <c r="C194">
        <v>22.44</v>
      </c>
      <c r="D194">
        <v>14.52</v>
      </c>
      <c r="E194">
        <v>28.08</v>
      </c>
      <c r="F194" s="3">
        <f t="shared" si="11"/>
        <v>0</v>
      </c>
      <c r="G194" s="3">
        <f t="shared" si="9"/>
        <v>-8.0399999999999991</v>
      </c>
      <c r="H194" s="3">
        <f t="shared" si="10"/>
        <v>64.641599999999983</v>
      </c>
    </row>
    <row r="195" spans="1:8" x14ac:dyDescent="0.3">
      <c r="A195" t="s">
        <v>214</v>
      </c>
      <c r="B195">
        <v>12.96</v>
      </c>
      <c r="C195">
        <v>47.4</v>
      </c>
      <c r="D195">
        <v>49.32</v>
      </c>
      <c r="E195">
        <v>6.96</v>
      </c>
      <c r="F195" s="3">
        <f t="shared" si="11"/>
        <v>0</v>
      </c>
      <c r="G195" s="3">
        <f t="shared" si="9"/>
        <v>-12.96</v>
      </c>
      <c r="H195" s="3">
        <f t="shared" si="10"/>
        <v>167.96160000000003</v>
      </c>
    </row>
    <row r="196" spans="1:8" x14ac:dyDescent="0.3">
      <c r="A196" t="s">
        <v>215</v>
      </c>
      <c r="B196">
        <v>11.88</v>
      </c>
      <c r="C196">
        <v>90.6</v>
      </c>
      <c r="D196">
        <v>12.96</v>
      </c>
      <c r="E196">
        <v>7.2</v>
      </c>
      <c r="F196" s="3">
        <f t="shared" si="11"/>
        <v>0</v>
      </c>
      <c r="G196" s="3">
        <f t="shared" si="9"/>
        <v>-11.88</v>
      </c>
      <c r="H196" s="3">
        <f t="shared" si="10"/>
        <v>141.13440000000003</v>
      </c>
    </row>
    <row r="197" spans="1:8" x14ac:dyDescent="0.3">
      <c r="A197" t="s">
        <v>216</v>
      </c>
      <c r="B197">
        <v>7.08</v>
      </c>
      <c r="C197">
        <v>20.64</v>
      </c>
      <c r="D197">
        <v>4.92</v>
      </c>
      <c r="E197">
        <v>37.92</v>
      </c>
      <c r="F197" s="3">
        <f t="shared" ref="F197:F204" si="12">$B$2+SUMPRODUCT($C$2:$E$2,C197:E197)</f>
        <v>0</v>
      </c>
      <c r="G197" s="3">
        <f t="shared" si="9"/>
        <v>-7.08</v>
      </c>
      <c r="H197" s="3">
        <f t="shared" si="10"/>
        <v>50.126400000000004</v>
      </c>
    </row>
    <row r="198" spans="1:8" x14ac:dyDescent="0.3">
      <c r="A198" t="s">
        <v>217</v>
      </c>
      <c r="B198">
        <v>23.52</v>
      </c>
      <c r="C198">
        <v>200.16</v>
      </c>
      <c r="D198">
        <v>50.4</v>
      </c>
      <c r="E198">
        <v>4.32</v>
      </c>
      <c r="F198" s="3">
        <f t="shared" si="12"/>
        <v>0</v>
      </c>
      <c r="G198" s="3">
        <f t="shared" ref="G198:G204" si="13">F198-B198</f>
        <v>-23.52</v>
      </c>
      <c r="H198" s="3">
        <f t="shared" ref="H198:H204" si="14">G198^2</f>
        <v>553.19039999999995</v>
      </c>
    </row>
    <row r="199" spans="1:8" x14ac:dyDescent="0.3">
      <c r="A199" t="s">
        <v>218</v>
      </c>
      <c r="B199">
        <v>20.76</v>
      </c>
      <c r="C199">
        <v>179.64</v>
      </c>
      <c r="D199">
        <v>42.72</v>
      </c>
      <c r="E199">
        <v>7.2</v>
      </c>
      <c r="F199" s="3">
        <f t="shared" si="12"/>
        <v>0</v>
      </c>
      <c r="G199" s="3">
        <f t="shared" si="13"/>
        <v>-20.76</v>
      </c>
      <c r="H199" s="3">
        <f t="shared" si="14"/>
        <v>430.97760000000005</v>
      </c>
    </row>
    <row r="200" spans="1:8" x14ac:dyDescent="0.3">
      <c r="A200" t="s">
        <v>219</v>
      </c>
      <c r="B200">
        <v>9.1199999999999992</v>
      </c>
      <c r="C200">
        <v>45.84</v>
      </c>
      <c r="D200">
        <v>4.4400000000000004</v>
      </c>
      <c r="E200">
        <v>16.559999999999999</v>
      </c>
      <c r="F200" s="3">
        <f t="shared" si="12"/>
        <v>0</v>
      </c>
      <c r="G200" s="3">
        <f t="shared" si="13"/>
        <v>-9.1199999999999992</v>
      </c>
      <c r="H200" s="3">
        <f t="shared" si="14"/>
        <v>83.174399999999991</v>
      </c>
    </row>
    <row r="201" spans="1:8" x14ac:dyDescent="0.3">
      <c r="A201" t="s">
        <v>220</v>
      </c>
      <c r="B201">
        <v>11.64</v>
      </c>
      <c r="C201">
        <v>113.04</v>
      </c>
      <c r="D201">
        <v>5.88</v>
      </c>
      <c r="E201">
        <v>9.7200000000000006</v>
      </c>
      <c r="F201" s="3">
        <f t="shared" si="12"/>
        <v>0</v>
      </c>
      <c r="G201" s="3">
        <f t="shared" si="13"/>
        <v>-11.64</v>
      </c>
      <c r="H201" s="3">
        <f t="shared" si="14"/>
        <v>135.48960000000002</v>
      </c>
    </row>
    <row r="202" spans="1:8" x14ac:dyDescent="0.3">
      <c r="A202" t="s">
        <v>221</v>
      </c>
      <c r="B202">
        <v>15.36</v>
      </c>
      <c r="C202">
        <v>212.4</v>
      </c>
      <c r="D202">
        <v>11.16</v>
      </c>
      <c r="E202">
        <v>7.68</v>
      </c>
      <c r="F202" s="3">
        <f t="shared" si="12"/>
        <v>0</v>
      </c>
      <c r="G202" s="3">
        <f t="shared" si="13"/>
        <v>-15.36</v>
      </c>
      <c r="H202" s="3">
        <f t="shared" si="14"/>
        <v>235.92959999999999</v>
      </c>
    </row>
    <row r="203" spans="1:8" x14ac:dyDescent="0.3">
      <c r="A203" t="s">
        <v>222</v>
      </c>
      <c r="B203">
        <v>30.6</v>
      </c>
      <c r="C203">
        <v>340.32</v>
      </c>
      <c r="D203">
        <v>50.4</v>
      </c>
      <c r="E203">
        <v>79.44</v>
      </c>
      <c r="F203" s="3">
        <f t="shared" si="12"/>
        <v>0</v>
      </c>
      <c r="G203" s="3">
        <f t="shared" si="13"/>
        <v>-30.6</v>
      </c>
      <c r="H203" s="3">
        <f t="shared" si="14"/>
        <v>936.36000000000013</v>
      </c>
    </row>
    <row r="204" spans="1:8" x14ac:dyDescent="0.3">
      <c r="A204" t="s">
        <v>223</v>
      </c>
      <c r="B204">
        <v>16.079999999999998</v>
      </c>
      <c r="C204">
        <v>278.52</v>
      </c>
      <c r="D204">
        <v>10.32</v>
      </c>
      <c r="E204">
        <v>10.44</v>
      </c>
      <c r="F204" s="3">
        <f t="shared" si="12"/>
        <v>0</v>
      </c>
      <c r="G204" s="3">
        <f t="shared" si="13"/>
        <v>-16.079999999999998</v>
      </c>
      <c r="H204" s="3">
        <f t="shared" si="14"/>
        <v>258.56639999999993</v>
      </c>
    </row>
  </sheetData>
  <scenarios current="0">
    <scenario name="Test1" count="3" user="Kunaal Naik" comment="Created by Kunaal Naik on 7/31/2022">
      <inputCells r="B2" val="-18.1459130298693"/>
      <inputCells r="C2" val="-2.82243860628503"/>
      <inputCells r="D2" val="0.535341917967134"/>
    </scenario>
  </scenario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1715-A899-42D5-B9A6-F79378E1928D}">
  <dimension ref="A1:H205"/>
  <sheetViews>
    <sheetView zoomScale="120" zoomScaleNormal="120" workbookViewId="0">
      <selection activeCell="C17" sqref="C17"/>
    </sheetView>
  </sheetViews>
  <sheetFormatPr defaultRowHeight="16.5" x14ac:dyDescent="0.3"/>
  <cols>
    <col min="1" max="1" width="11.33203125" customWidth="1"/>
    <col min="2" max="2" width="12" bestFit="1" customWidth="1"/>
    <col min="3" max="3" width="12.5546875" bestFit="1" customWidth="1"/>
    <col min="4" max="5" width="12" bestFit="1" customWidth="1"/>
    <col min="6" max="6" width="13.77734375" bestFit="1" customWidth="1"/>
    <col min="7" max="7" width="13.77734375" customWidth="1"/>
    <col min="8" max="8" width="12" bestFit="1" customWidth="1"/>
    <col min="9" max="9" width="3" customWidth="1"/>
  </cols>
  <sheetData>
    <row r="1" spans="1:8" ht="17.25" thickBot="1" x14ac:dyDescent="0.35">
      <c r="A1" s="18" t="s">
        <v>44</v>
      </c>
      <c r="B1" s="1" t="s">
        <v>10</v>
      </c>
      <c r="C1" s="1" t="s">
        <v>1</v>
      </c>
      <c r="D1" s="1" t="s">
        <v>2</v>
      </c>
      <c r="E1" s="1" t="s">
        <v>9</v>
      </c>
      <c r="G1" s="1" t="s">
        <v>6</v>
      </c>
      <c r="H1" s="26">
        <f>SUM(H6:H205)</f>
        <v>21645.445171143558</v>
      </c>
    </row>
    <row r="2" spans="1:8" ht="18" thickTop="1" thickBot="1" x14ac:dyDescent="0.35">
      <c r="A2" s="19" t="str">
        <f>LeastSquares!I1</f>
        <v>C6</v>
      </c>
      <c r="B2" s="2">
        <f>VLOOKUP($A2,LeastSquares!$A$1:$E$48,COLUMN(LeastSquares!B$1),FALSE)</f>
        <v>2.7005289698033801</v>
      </c>
      <c r="C2" s="2">
        <f>VLOOKUP($A2,LeastSquares!$A$1:$E$48,COLUMN(LeastSquares!C$1),FALSE)</f>
        <v>1.18793570347147E-2</v>
      </c>
      <c r="D2" s="2">
        <f>VLOOKUP($A2,LeastSquares!$A$1:$E$48,COLUMN(LeastSquares!D$1),FALSE)</f>
        <v>8.4776134349109494E-2</v>
      </c>
      <c r="E2" s="2">
        <f>VLOOKUP($A2,LeastSquares!$A$1:$E$48,COLUMN(LeastSquares!E$1),FALSE)</f>
        <v>7.2650556148527601E-3</v>
      </c>
    </row>
    <row r="3" spans="1:8" ht="17.25" thickTop="1" x14ac:dyDescent="0.3"/>
    <row r="4" spans="1:8" x14ac:dyDescent="0.3">
      <c r="A4" s="17" t="s">
        <v>15</v>
      </c>
      <c r="B4" s="17" t="s">
        <v>11</v>
      </c>
      <c r="C4" s="17" t="s">
        <v>12</v>
      </c>
      <c r="D4" s="17" t="s">
        <v>13</v>
      </c>
      <c r="E4" s="17" t="s">
        <v>14</v>
      </c>
      <c r="F4" s="17"/>
      <c r="G4" s="17"/>
      <c r="H4" s="17"/>
    </row>
    <row r="5" spans="1:8" ht="46.5" customHeight="1" x14ac:dyDescent="0.3">
      <c r="A5" s="16" t="s">
        <v>45</v>
      </c>
      <c r="B5" s="16" t="s">
        <v>46</v>
      </c>
      <c r="C5" s="16" t="s">
        <v>47</v>
      </c>
      <c r="D5" s="16" t="s">
        <v>224</v>
      </c>
      <c r="E5" s="16" t="s">
        <v>225</v>
      </c>
      <c r="F5" s="16" t="s">
        <v>227</v>
      </c>
      <c r="G5" s="16" t="s">
        <v>228</v>
      </c>
      <c r="H5" s="16" t="s">
        <v>5</v>
      </c>
    </row>
    <row r="6" spans="1:8" x14ac:dyDescent="0.3">
      <c r="A6" t="s">
        <v>19</v>
      </c>
      <c r="B6">
        <v>26.52</v>
      </c>
      <c r="C6">
        <v>276.12</v>
      </c>
      <c r="D6">
        <v>45.36</v>
      </c>
      <c r="E6">
        <v>83.04</v>
      </c>
      <c r="F6">
        <f>$B$2+SUMPRODUCT($C$2:$E$2,C6:E6)</f>
        <v>10.429392706561783</v>
      </c>
      <c r="G6">
        <f>F6-B6</f>
        <v>-16.090607293438218</v>
      </c>
      <c r="H6">
        <f>G6^2</f>
        <v>258.90764307164716</v>
      </c>
    </row>
    <row r="7" spans="1:8" x14ac:dyDescent="0.3">
      <c r="A7" t="s">
        <v>20</v>
      </c>
      <c r="B7">
        <v>12.48</v>
      </c>
      <c r="C7">
        <v>53.4</v>
      </c>
      <c r="D7">
        <v>47.16</v>
      </c>
      <c r="E7">
        <v>54.12</v>
      </c>
      <c r="F7">
        <f t="shared" ref="F7:F70" si="0">$B$2+SUMPRODUCT($C$2:$E$2,C7:E7)</f>
        <v>7.7261139412369797</v>
      </c>
      <c r="G7">
        <f t="shared" ref="G7:G70" si="1">F7-B7</f>
        <v>-4.7538860587630207</v>
      </c>
      <c r="H7">
        <f t="shared" ref="H7:H70" si="2">G7^2</f>
        <v>22.599432659701407</v>
      </c>
    </row>
    <row r="8" spans="1:8" x14ac:dyDescent="0.3">
      <c r="A8" t="s">
        <v>21</v>
      </c>
      <c r="B8">
        <v>11.16</v>
      </c>
      <c r="C8">
        <v>20.64</v>
      </c>
      <c r="D8">
        <v>55.08</v>
      </c>
      <c r="E8">
        <v>83.16</v>
      </c>
      <c r="F8">
        <f t="shared" si="0"/>
        <v>8.2193504038799983</v>
      </c>
      <c r="G8">
        <f t="shared" si="1"/>
        <v>-2.9406495961200019</v>
      </c>
      <c r="H8">
        <f t="shared" si="2"/>
        <v>8.6474200471607308</v>
      </c>
    </row>
    <row r="9" spans="1:8" x14ac:dyDescent="0.3">
      <c r="A9" t="s">
        <v>22</v>
      </c>
      <c r="B9">
        <v>22.2</v>
      </c>
      <c r="C9">
        <v>181.8</v>
      </c>
      <c r="D9">
        <v>49.56</v>
      </c>
      <c r="E9">
        <v>70.2</v>
      </c>
      <c r="F9">
        <f t="shared" si="0"/>
        <v>9.5717082012190424</v>
      </c>
      <c r="G9">
        <f t="shared" si="1"/>
        <v>-12.628291798780957</v>
      </c>
      <c r="H9">
        <f t="shared" si="2"/>
        <v>159.47375375515838</v>
      </c>
    </row>
    <row r="10" spans="1:8" x14ac:dyDescent="0.3">
      <c r="A10" t="s">
        <v>23</v>
      </c>
      <c r="B10">
        <v>15.48</v>
      </c>
      <c r="C10">
        <v>216.96</v>
      </c>
      <c r="D10">
        <v>12.96</v>
      </c>
      <c r="E10">
        <v>70.08</v>
      </c>
      <c r="F10">
        <f t="shared" si="0"/>
        <v>6.8857080707084215</v>
      </c>
      <c r="G10">
        <f t="shared" si="1"/>
        <v>-8.5942919292915789</v>
      </c>
      <c r="H10">
        <f t="shared" si="2"/>
        <v>73.861853765886366</v>
      </c>
    </row>
    <row r="11" spans="1:8" x14ac:dyDescent="0.3">
      <c r="A11" t="s">
        <v>24</v>
      </c>
      <c r="B11">
        <v>8.64</v>
      </c>
      <c r="C11">
        <v>10.44</v>
      </c>
      <c r="D11">
        <v>58.68</v>
      </c>
      <c r="E11">
        <v>90</v>
      </c>
      <c r="F11">
        <f t="shared" si="0"/>
        <v>8.4530680261882942</v>
      </c>
      <c r="G11">
        <f t="shared" si="1"/>
        <v>-0.18693197381170634</v>
      </c>
      <c r="H11">
        <f t="shared" si="2"/>
        <v>3.4943562833140464E-2</v>
      </c>
    </row>
    <row r="12" spans="1:8" x14ac:dyDescent="0.3">
      <c r="A12" t="s">
        <v>25</v>
      </c>
      <c r="B12">
        <v>14.16</v>
      </c>
      <c r="C12">
        <v>69</v>
      </c>
      <c r="D12">
        <v>39.36</v>
      </c>
      <c r="E12">
        <v>28.2</v>
      </c>
      <c r="F12">
        <f t="shared" si="0"/>
        <v>7.0618678215184927</v>
      </c>
      <c r="G12">
        <f t="shared" si="1"/>
        <v>-7.0981321784815075</v>
      </c>
      <c r="H12">
        <f>G12^2</f>
        <v>50.383480423194634</v>
      </c>
    </row>
    <row r="13" spans="1:8" x14ac:dyDescent="0.3">
      <c r="A13" t="s">
        <v>26</v>
      </c>
      <c r="B13">
        <v>15.84</v>
      </c>
      <c r="C13">
        <v>144.24</v>
      </c>
      <c r="D13">
        <v>23.52</v>
      </c>
      <c r="E13">
        <v>13.92</v>
      </c>
      <c r="F13">
        <f t="shared" si="0"/>
        <v>6.5090716825404344</v>
      </c>
      <c r="G13">
        <f t="shared" si="1"/>
        <v>-9.3309283174595663</v>
      </c>
      <c r="H13">
        <f t="shared" si="2"/>
        <v>87.066223265568809</v>
      </c>
    </row>
    <row r="14" spans="1:8" x14ac:dyDescent="0.3">
      <c r="A14" t="s">
        <v>27</v>
      </c>
      <c r="B14">
        <v>5.76</v>
      </c>
      <c r="C14">
        <v>10.32</v>
      </c>
      <c r="D14">
        <v>2.52</v>
      </c>
      <c r="E14">
        <v>1.2</v>
      </c>
      <c r="F14">
        <f t="shared" si="0"/>
        <v>3.0454778596992149</v>
      </c>
      <c r="G14">
        <f t="shared" si="1"/>
        <v>-2.7145221403007849</v>
      </c>
      <c r="H14">
        <f t="shared" si="2"/>
        <v>7.3686304501831543</v>
      </c>
    </row>
    <row r="15" spans="1:8" x14ac:dyDescent="0.3">
      <c r="A15" t="s">
        <v>28</v>
      </c>
      <c r="B15">
        <v>12.72</v>
      </c>
      <c r="C15">
        <v>239.76</v>
      </c>
      <c r="D15">
        <v>3.12</v>
      </c>
      <c r="E15">
        <v>25.44</v>
      </c>
      <c r="F15">
        <f t="shared" si="0"/>
        <v>5.9980481664576519</v>
      </c>
      <c r="G15">
        <f t="shared" si="1"/>
        <v>-6.7219518335423487</v>
      </c>
      <c r="H15">
        <f t="shared" si="2"/>
        <v>45.184636452463344</v>
      </c>
    </row>
    <row r="16" spans="1:8" x14ac:dyDescent="0.3">
      <c r="A16" t="s">
        <v>29</v>
      </c>
      <c r="B16">
        <v>10.32</v>
      </c>
      <c r="C16">
        <v>79.319999999999993</v>
      </c>
      <c r="D16">
        <v>6.96</v>
      </c>
      <c r="E16">
        <v>29.04</v>
      </c>
      <c r="F16">
        <f t="shared" si="0"/>
        <v>4.4438186799220762</v>
      </c>
      <c r="G16">
        <f t="shared" si="1"/>
        <v>-5.876181320077924</v>
      </c>
      <c r="H16">
        <f t="shared" si="2"/>
        <v>34.529506906432736</v>
      </c>
    </row>
    <row r="17" spans="1:8" x14ac:dyDescent="0.3">
      <c r="A17" t="s">
        <v>30</v>
      </c>
      <c r="B17">
        <v>20.88</v>
      </c>
      <c r="C17">
        <v>257.64</v>
      </c>
      <c r="D17">
        <v>28.8</v>
      </c>
      <c r="E17">
        <v>4.8</v>
      </c>
      <c r="F17">
        <f t="shared" si="0"/>
        <v>8.2375514524329212</v>
      </c>
      <c r="G17">
        <f t="shared" si="1"/>
        <v>-12.642448547567078</v>
      </c>
      <c r="H17">
        <f t="shared" si="2"/>
        <v>159.83150527788092</v>
      </c>
    </row>
    <row r="18" spans="1:8" x14ac:dyDescent="0.3">
      <c r="A18" t="s">
        <v>31</v>
      </c>
      <c r="B18">
        <v>11.04</v>
      </c>
      <c r="C18">
        <v>28.56</v>
      </c>
      <c r="D18">
        <v>42.12</v>
      </c>
      <c r="E18">
        <v>79.08</v>
      </c>
      <c r="F18">
        <f t="shared" si="0"/>
        <v>7.1850947835218797</v>
      </c>
      <c r="G18">
        <f t="shared" si="1"/>
        <v>-3.8549052164781195</v>
      </c>
      <c r="H18">
        <f t="shared" si="2"/>
        <v>14.860294228030217</v>
      </c>
    </row>
    <row r="19" spans="1:8" x14ac:dyDescent="0.3">
      <c r="A19" t="s">
        <v>32</v>
      </c>
      <c r="B19">
        <v>11.64</v>
      </c>
      <c r="C19">
        <v>117</v>
      </c>
      <c r="D19">
        <v>9.1199999999999992</v>
      </c>
      <c r="E19">
        <v>8.64</v>
      </c>
      <c r="F19">
        <f t="shared" si="0"/>
        <v>4.9263421686412059</v>
      </c>
      <c r="G19">
        <f t="shared" si="1"/>
        <v>-6.7136578313587947</v>
      </c>
      <c r="H19">
        <f t="shared" si="2"/>
        <v>45.073201476565274</v>
      </c>
    </row>
    <row r="20" spans="1:8" x14ac:dyDescent="0.3">
      <c r="A20" t="s">
        <v>33</v>
      </c>
      <c r="B20">
        <v>22.8</v>
      </c>
      <c r="C20">
        <v>244.92</v>
      </c>
      <c r="D20">
        <v>39.479999999999997</v>
      </c>
      <c r="E20">
        <v>55.2</v>
      </c>
      <c r="F20">
        <f t="shared" si="0"/>
        <v>9.3580139487884182</v>
      </c>
      <c r="G20">
        <f t="shared" si="1"/>
        <v>-13.441986051211583</v>
      </c>
      <c r="H20">
        <f t="shared" si="2"/>
        <v>180.68698900096675</v>
      </c>
    </row>
    <row r="21" spans="1:8" x14ac:dyDescent="0.3">
      <c r="A21" t="s">
        <v>34</v>
      </c>
      <c r="B21">
        <v>26.88</v>
      </c>
      <c r="C21">
        <v>234.48</v>
      </c>
      <c r="D21">
        <v>57.24</v>
      </c>
      <c r="E21">
        <v>63.48</v>
      </c>
      <c r="F21">
        <f t="shared" si="0"/>
        <v>10.799772267877163</v>
      </c>
      <c r="G21">
        <f t="shared" si="1"/>
        <v>-16.080227732122836</v>
      </c>
      <c r="H21">
        <f t="shared" si="2"/>
        <v>258.57372391693235</v>
      </c>
    </row>
    <row r="22" spans="1:8" x14ac:dyDescent="0.3">
      <c r="A22" t="s">
        <v>35</v>
      </c>
      <c r="B22">
        <v>15</v>
      </c>
      <c r="C22">
        <v>81.36</v>
      </c>
      <c r="D22">
        <v>43.92</v>
      </c>
      <c r="E22">
        <v>136.80000000000001</v>
      </c>
      <c r="F22">
        <f t="shared" si="0"/>
        <v>8.3842608868725144</v>
      </c>
      <c r="G22">
        <f t="shared" si="1"/>
        <v>-6.6157391131274856</v>
      </c>
      <c r="H22">
        <f t="shared" si="2"/>
        <v>43.768004012964852</v>
      </c>
    </row>
    <row r="23" spans="1:8" x14ac:dyDescent="0.3">
      <c r="A23" t="s">
        <v>36</v>
      </c>
      <c r="B23">
        <v>29.28</v>
      </c>
      <c r="C23">
        <v>337.68</v>
      </c>
      <c r="D23">
        <v>47.52</v>
      </c>
      <c r="E23">
        <v>66.959999999999994</v>
      </c>
      <c r="F23">
        <f t="shared" si="0"/>
        <v>11.226980281526064</v>
      </c>
      <c r="G23">
        <f t="shared" si="1"/>
        <v>-18.053019718473937</v>
      </c>
      <c r="H23">
        <f t="shared" si="2"/>
        <v>325.91152095560881</v>
      </c>
    </row>
    <row r="24" spans="1:8" x14ac:dyDescent="0.3">
      <c r="A24" t="s">
        <v>37</v>
      </c>
      <c r="B24">
        <v>13.56</v>
      </c>
      <c r="C24">
        <v>83.04</v>
      </c>
      <c r="D24">
        <v>24.6</v>
      </c>
      <c r="E24">
        <v>21.96</v>
      </c>
      <c r="F24">
        <f t="shared" si="0"/>
        <v>5.9320243042563492</v>
      </c>
      <c r="G24">
        <f t="shared" si="1"/>
        <v>-7.6279756957436513</v>
      </c>
      <c r="H24">
        <f t="shared" si="2"/>
        <v>58.186013214855841</v>
      </c>
    </row>
    <row r="25" spans="1:8" x14ac:dyDescent="0.3">
      <c r="A25" t="s">
        <v>38</v>
      </c>
      <c r="B25">
        <v>17.52</v>
      </c>
      <c r="C25">
        <v>176.76</v>
      </c>
      <c r="D25">
        <v>28.68</v>
      </c>
      <c r="E25">
        <v>22.92</v>
      </c>
      <c r="F25">
        <f t="shared" si="0"/>
        <v>7.3982187270844362</v>
      </c>
      <c r="G25">
        <f t="shared" si="1"/>
        <v>-10.121781272915563</v>
      </c>
      <c r="H25">
        <f t="shared" si="2"/>
        <v>102.45045613674418</v>
      </c>
    </row>
    <row r="26" spans="1:8" x14ac:dyDescent="0.3">
      <c r="A26" t="s">
        <v>39</v>
      </c>
      <c r="B26">
        <v>21.6</v>
      </c>
      <c r="C26">
        <v>262.08</v>
      </c>
      <c r="D26">
        <v>33.24</v>
      </c>
      <c r="E26">
        <v>64.08</v>
      </c>
      <c r="F26">
        <f t="shared" si="0"/>
        <v>9.0973743310255735</v>
      </c>
      <c r="G26">
        <f t="shared" si="1"/>
        <v>-12.502625668974428</v>
      </c>
      <c r="H26">
        <f t="shared" si="2"/>
        <v>156.31564861849827</v>
      </c>
    </row>
    <row r="27" spans="1:8" x14ac:dyDescent="0.3">
      <c r="A27" t="s">
        <v>40</v>
      </c>
      <c r="B27">
        <v>15</v>
      </c>
      <c r="C27">
        <v>284.88</v>
      </c>
      <c r="D27">
        <v>6.12</v>
      </c>
      <c r="E27">
        <v>28.2</v>
      </c>
      <c r="F27">
        <f t="shared" si="0"/>
        <v>6.8084247124083017</v>
      </c>
      <c r="G27">
        <f t="shared" si="1"/>
        <v>-8.1915752875916983</v>
      </c>
      <c r="H27">
        <f t="shared" si="2"/>
        <v>67.101905692283012</v>
      </c>
    </row>
    <row r="28" spans="1:8" x14ac:dyDescent="0.3">
      <c r="A28" t="s">
        <v>41</v>
      </c>
      <c r="B28">
        <v>6.72</v>
      </c>
      <c r="C28">
        <v>15.84</v>
      </c>
      <c r="D28">
        <v>19.079999999999998</v>
      </c>
      <c r="E28">
        <v>59.52</v>
      </c>
      <c r="F28">
        <f t="shared" si="0"/>
        <v>4.938642738810306</v>
      </c>
      <c r="G28">
        <f t="shared" si="1"/>
        <v>-1.7813572611896937</v>
      </c>
      <c r="H28">
        <f t="shared" si="2"/>
        <v>3.1732336919932469</v>
      </c>
    </row>
    <row r="29" spans="1:8" x14ac:dyDescent="0.3">
      <c r="A29" t="s">
        <v>42</v>
      </c>
      <c r="B29">
        <v>18.600000000000001</v>
      </c>
      <c r="C29">
        <v>273.95999999999998</v>
      </c>
      <c r="D29">
        <v>20.28</v>
      </c>
      <c r="E29">
        <v>31.44</v>
      </c>
      <c r="F29">
        <f t="shared" si="0"/>
        <v>7.9026709761647309</v>
      </c>
      <c r="G29">
        <f t="shared" si="1"/>
        <v>-10.69732902383527</v>
      </c>
      <c r="H29">
        <f t="shared" si="2"/>
        <v>114.43284824418845</v>
      </c>
    </row>
    <row r="30" spans="1:8" x14ac:dyDescent="0.3">
      <c r="A30" t="s">
        <v>48</v>
      </c>
      <c r="B30">
        <v>11.64</v>
      </c>
      <c r="C30">
        <v>74.760000000000005</v>
      </c>
      <c r="D30">
        <v>15.12</v>
      </c>
      <c r="E30">
        <v>21.96</v>
      </c>
      <c r="F30">
        <f t="shared" si="0"/>
        <v>5.0299854743793535</v>
      </c>
      <c r="G30">
        <f t="shared" si="1"/>
        <v>-6.6100145256206471</v>
      </c>
      <c r="H30">
        <f t="shared" si="2"/>
        <v>43.692292028915951</v>
      </c>
    </row>
    <row r="31" spans="1:8" x14ac:dyDescent="0.3">
      <c r="A31" t="s">
        <v>49</v>
      </c>
      <c r="B31">
        <v>14.4</v>
      </c>
      <c r="C31">
        <v>315.48</v>
      </c>
      <c r="D31">
        <v>4.2</v>
      </c>
      <c r="E31">
        <v>23.4</v>
      </c>
      <c r="F31">
        <f t="shared" si="0"/>
        <v>6.9742905927689884</v>
      </c>
      <c r="G31">
        <f t="shared" si="1"/>
        <v>-7.4257094072310119</v>
      </c>
      <c r="H31">
        <f t="shared" si="2"/>
        <v>55.141160200639149</v>
      </c>
    </row>
    <row r="32" spans="1:8" x14ac:dyDescent="0.3">
      <c r="A32" t="s">
        <v>50</v>
      </c>
      <c r="B32">
        <v>18</v>
      </c>
      <c r="C32">
        <v>171.48</v>
      </c>
      <c r="D32">
        <v>35.159999999999997</v>
      </c>
      <c r="E32">
        <v>15.12</v>
      </c>
      <c r="F32">
        <f t="shared" si="0"/>
        <v>7.8281776387275199</v>
      </c>
      <c r="G32">
        <f t="shared" si="1"/>
        <v>-10.171822361272479</v>
      </c>
      <c r="H32">
        <f t="shared" si="2"/>
        <v>103.46597014928284</v>
      </c>
    </row>
    <row r="33" spans="1:8" x14ac:dyDescent="0.3">
      <c r="A33" t="s">
        <v>51</v>
      </c>
      <c r="B33">
        <v>19.079999999999998</v>
      </c>
      <c r="C33">
        <v>288.12</v>
      </c>
      <c r="D33">
        <v>20.04</v>
      </c>
      <c r="E33">
        <v>27.48</v>
      </c>
      <c r="F33">
        <f t="shared" si="0"/>
        <v>8.021766779297689</v>
      </c>
      <c r="G33">
        <f t="shared" si="1"/>
        <v>-11.058233220702309</v>
      </c>
      <c r="H33">
        <f t="shared" si="2"/>
        <v>122.28452196344416</v>
      </c>
    </row>
    <row r="34" spans="1:8" x14ac:dyDescent="0.3">
      <c r="A34" t="s">
        <v>52</v>
      </c>
      <c r="B34">
        <v>22.68</v>
      </c>
      <c r="C34">
        <v>298.56</v>
      </c>
      <c r="D34">
        <v>32.520000000000003</v>
      </c>
      <c r="E34">
        <v>27.48</v>
      </c>
      <c r="F34">
        <f t="shared" si="0"/>
        <v>9.2037934234169967</v>
      </c>
      <c r="G34">
        <f t="shared" si="1"/>
        <v>-13.476206576583003</v>
      </c>
      <c r="H34">
        <f t="shared" si="2"/>
        <v>181.60814369473897</v>
      </c>
    </row>
    <row r="35" spans="1:8" x14ac:dyDescent="0.3">
      <c r="A35" t="s">
        <v>53</v>
      </c>
      <c r="B35">
        <v>12.6</v>
      </c>
      <c r="C35">
        <v>84.72</v>
      </c>
      <c r="D35">
        <v>19.2</v>
      </c>
      <c r="E35">
        <v>48.96</v>
      </c>
      <c r="F35">
        <f t="shared" si="0"/>
        <v>5.6903470001905028</v>
      </c>
      <c r="G35">
        <f t="shared" si="1"/>
        <v>-6.9096529998094969</v>
      </c>
      <c r="H35">
        <f t="shared" si="2"/>
        <v>47.743304577776378</v>
      </c>
    </row>
    <row r="36" spans="1:8" x14ac:dyDescent="0.3">
      <c r="A36" t="s">
        <v>54</v>
      </c>
      <c r="B36">
        <v>25.68</v>
      </c>
      <c r="C36">
        <v>351.48</v>
      </c>
      <c r="D36">
        <v>33.96</v>
      </c>
      <c r="E36">
        <v>51.84</v>
      </c>
      <c r="F36">
        <f t="shared" si="0"/>
        <v>10.131503385934629</v>
      </c>
      <c r="G36">
        <f t="shared" si="1"/>
        <v>-15.548496614065371</v>
      </c>
      <c r="H36">
        <f t="shared" si="2"/>
        <v>241.7557469576023</v>
      </c>
    </row>
    <row r="37" spans="1:8" x14ac:dyDescent="0.3">
      <c r="A37" t="s">
        <v>55</v>
      </c>
      <c r="B37">
        <v>14.28</v>
      </c>
      <c r="C37">
        <v>135.47999999999999</v>
      </c>
      <c r="D37">
        <v>20.88</v>
      </c>
      <c r="E37">
        <v>46.32</v>
      </c>
      <c r="F37">
        <f t="shared" si="0"/>
        <v>6.4165873221559133</v>
      </c>
      <c r="G37">
        <f t="shared" si="1"/>
        <v>-7.863412677844086</v>
      </c>
      <c r="H37">
        <f t="shared" si="2"/>
        <v>61.833258942079098</v>
      </c>
    </row>
    <row r="38" spans="1:8" x14ac:dyDescent="0.3">
      <c r="A38" t="s">
        <v>56</v>
      </c>
      <c r="B38">
        <v>11.52</v>
      </c>
      <c r="C38">
        <v>116.64</v>
      </c>
      <c r="D38">
        <v>1.8</v>
      </c>
      <c r="E38">
        <v>36</v>
      </c>
      <c r="F38">
        <f t="shared" si="0"/>
        <v>4.5002762182955998</v>
      </c>
      <c r="G38">
        <f t="shared" si="1"/>
        <v>-7.0197237817043998</v>
      </c>
      <c r="H38">
        <f t="shared" si="2"/>
        <v>49.27652197142632</v>
      </c>
    </row>
    <row r="39" spans="1:8" x14ac:dyDescent="0.3">
      <c r="A39" t="s">
        <v>57</v>
      </c>
      <c r="B39">
        <v>20.88</v>
      </c>
      <c r="C39">
        <v>318.72000000000003</v>
      </c>
      <c r="D39">
        <v>24</v>
      </c>
      <c r="E39">
        <v>0.36</v>
      </c>
      <c r="F39">
        <f t="shared" si="0"/>
        <v>8.5239602883076238</v>
      </c>
      <c r="G39">
        <f t="shared" si="1"/>
        <v>-12.356039711692375</v>
      </c>
      <c r="H39">
        <f t="shared" si="2"/>
        <v>152.671717356919</v>
      </c>
    </row>
    <row r="40" spans="1:8" x14ac:dyDescent="0.3">
      <c r="A40" t="s">
        <v>58</v>
      </c>
      <c r="B40">
        <v>11.4</v>
      </c>
      <c r="C40">
        <v>114.84</v>
      </c>
      <c r="D40">
        <v>1.68</v>
      </c>
      <c r="E40">
        <v>8.8800000000000008</v>
      </c>
      <c r="F40">
        <f t="shared" si="0"/>
        <v>4.271691931236413</v>
      </c>
      <c r="G40">
        <f t="shared" si="1"/>
        <v>-7.1283080687635874</v>
      </c>
      <c r="H40">
        <f t="shared" si="2"/>
        <v>50.812775923200064</v>
      </c>
    </row>
    <row r="41" spans="1:8" x14ac:dyDescent="0.3">
      <c r="A41" t="s">
        <v>59</v>
      </c>
      <c r="B41">
        <v>15.36</v>
      </c>
      <c r="C41">
        <v>348.84</v>
      </c>
      <c r="D41">
        <v>4.92</v>
      </c>
      <c r="E41">
        <v>10.199999999999999</v>
      </c>
      <c r="F41">
        <f t="shared" si="0"/>
        <v>7.3357260260623729</v>
      </c>
      <c r="G41">
        <f t="shared" si="1"/>
        <v>-8.0242739739376265</v>
      </c>
      <c r="H41">
        <f t="shared" si="2"/>
        <v>64.388972808812753</v>
      </c>
    </row>
    <row r="42" spans="1:8" x14ac:dyDescent="0.3">
      <c r="A42" t="s">
        <v>60</v>
      </c>
      <c r="B42">
        <v>30.48</v>
      </c>
      <c r="C42">
        <v>320.27999999999997</v>
      </c>
      <c r="D42">
        <v>52.56</v>
      </c>
      <c r="E42">
        <v>6</v>
      </c>
      <c r="F42">
        <f t="shared" si="0"/>
        <v>11.004673395960115</v>
      </c>
      <c r="G42">
        <f t="shared" si="1"/>
        <v>-19.475326604039886</v>
      </c>
      <c r="H42">
        <f t="shared" si="2"/>
        <v>379.28834633402374</v>
      </c>
    </row>
    <row r="43" spans="1:8" x14ac:dyDescent="0.3">
      <c r="A43" t="s">
        <v>61</v>
      </c>
      <c r="B43">
        <v>17.64</v>
      </c>
      <c r="C43">
        <v>89.64</v>
      </c>
      <c r="D43">
        <v>59.28</v>
      </c>
      <c r="E43">
        <v>54.84</v>
      </c>
      <c r="F43">
        <f t="shared" si="0"/>
        <v>9.1893394285289425</v>
      </c>
      <c r="G43">
        <f t="shared" si="1"/>
        <v>-8.4506605714710581</v>
      </c>
      <c r="H43">
        <f t="shared" si="2"/>
        <v>71.413664094215548</v>
      </c>
    </row>
    <row r="44" spans="1:8" x14ac:dyDescent="0.3">
      <c r="A44" t="s">
        <v>62</v>
      </c>
      <c r="B44">
        <v>12.12</v>
      </c>
      <c r="C44">
        <v>51.72</v>
      </c>
      <c r="D44">
        <v>32.04</v>
      </c>
      <c r="E44">
        <v>42.12</v>
      </c>
      <c r="F44">
        <f t="shared" si="0"/>
        <v>6.3371608026818906</v>
      </c>
      <c r="G44">
        <f t="shared" si="1"/>
        <v>-5.7828391973181086</v>
      </c>
      <c r="H44">
        <f t="shared" si="2"/>
        <v>33.441229182038747</v>
      </c>
    </row>
    <row r="45" spans="1:8" x14ac:dyDescent="0.3">
      <c r="A45" t="s">
        <v>63</v>
      </c>
      <c r="B45">
        <v>25.8</v>
      </c>
      <c r="C45">
        <v>273.60000000000002</v>
      </c>
      <c r="D45">
        <v>45.24</v>
      </c>
      <c r="E45">
        <v>38.4</v>
      </c>
      <c r="F45">
        <f t="shared" si="0"/>
        <v>10.064971508065382</v>
      </c>
      <c r="G45">
        <f t="shared" si="1"/>
        <v>-15.735028491934619</v>
      </c>
      <c r="H45">
        <f t="shared" si="2"/>
        <v>247.59112164199425</v>
      </c>
    </row>
    <row r="46" spans="1:8" x14ac:dyDescent="0.3">
      <c r="A46" t="s">
        <v>64</v>
      </c>
      <c r="B46">
        <v>19.920000000000002</v>
      </c>
      <c r="C46">
        <v>243</v>
      </c>
      <c r="D46">
        <v>26.76</v>
      </c>
      <c r="E46">
        <v>37.92</v>
      </c>
      <c r="F46">
        <f t="shared" si="0"/>
        <v>8.1313129933364401</v>
      </c>
      <c r="G46">
        <f t="shared" si="1"/>
        <v>-11.788687006663562</v>
      </c>
      <c r="H46">
        <f t="shared" si="2"/>
        <v>138.97314134107827</v>
      </c>
    </row>
    <row r="47" spans="1:8" x14ac:dyDescent="0.3">
      <c r="A47" t="s">
        <v>65</v>
      </c>
      <c r="B47">
        <v>20.52</v>
      </c>
      <c r="C47">
        <v>212.4</v>
      </c>
      <c r="D47">
        <v>40.08</v>
      </c>
      <c r="E47">
        <v>46.44</v>
      </c>
      <c r="F47">
        <f t="shared" si="0"/>
        <v>8.9589210514428537</v>
      </c>
      <c r="G47">
        <f t="shared" si="1"/>
        <v>-11.561078948557146</v>
      </c>
      <c r="H47">
        <f t="shared" si="2"/>
        <v>133.6585464547712</v>
      </c>
    </row>
    <row r="48" spans="1:8" x14ac:dyDescent="0.3">
      <c r="A48" t="s">
        <v>66</v>
      </c>
      <c r="B48">
        <v>24.84</v>
      </c>
      <c r="C48">
        <v>352.32</v>
      </c>
      <c r="D48">
        <v>33.24</v>
      </c>
      <c r="E48">
        <v>2.16</v>
      </c>
      <c r="F48">
        <f t="shared" si="0"/>
        <v>9.7195152661665443</v>
      </c>
      <c r="G48">
        <f t="shared" si="1"/>
        <v>-15.120484733833456</v>
      </c>
      <c r="H48">
        <f t="shared" si="2"/>
        <v>228.62905858609059</v>
      </c>
    </row>
    <row r="49" spans="1:8" x14ac:dyDescent="0.3">
      <c r="A49" t="s">
        <v>67</v>
      </c>
      <c r="B49">
        <v>15.48</v>
      </c>
      <c r="C49">
        <v>248.28</v>
      </c>
      <c r="D49">
        <v>10.08</v>
      </c>
      <c r="E49">
        <v>31.68</v>
      </c>
      <c r="F49">
        <f t="shared" si="0"/>
        <v>6.7346361304999043</v>
      </c>
      <c r="G49">
        <f t="shared" si="1"/>
        <v>-8.7453638695000961</v>
      </c>
      <c r="H49">
        <f t="shared" si="2"/>
        <v>76.481389209957698</v>
      </c>
    </row>
    <row r="50" spans="1:8" x14ac:dyDescent="0.3">
      <c r="A50" t="s">
        <v>68</v>
      </c>
      <c r="B50">
        <v>10.199999999999999</v>
      </c>
      <c r="C50">
        <v>30.12</v>
      </c>
      <c r="D50">
        <v>30.84</v>
      </c>
      <c r="E50">
        <v>51.96</v>
      </c>
      <c r="F50">
        <f t="shared" si="0"/>
        <v>6.050323476763273</v>
      </c>
      <c r="G50">
        <f t="shared" si="1"/>
        <v>-4.1496765232367263</v>
      </c>
      <c r="H50">
        <f t="shared" si="2"/>
        <v>17.219815247502044</v>
      </c>
    </row>
    <row r="51" spans="1:8" x14ac:dyDescent="0.3">
      <c r="A51" t="s">
        <v>69</v>
      </c>
      <c r="B51">
        <v>17.88</v>
      </c>
      <c r="C51">
        <v>210.12</v>
      </c>
      <c r="D51">
        <v>27</v>
      </c>
      <c r="E51">
        <v>37.799999999999997</v>
      </c>
      <c r="F51">
        <f t="shared" si="0"/>
        <v>7.7601941996050234</v>
      </c>
      <c r="G51">
        <f t="shared" si="1"/>
        <v>-10.119805800394975</v>
      </c>
      <c r="H51">
        <f t="shared" si="2"/>
        <v>102.41046943770777</v>
      </c>
    </row>
    <row r="52" spans="1:8" x14ac:dyDescent="0.3">
      <c r="A52" t="s">
        <v>70</v>
      </c>
      <c r="B52">
        <v>12.72</v>
      </c>
      <c r="C52">
        <v>107.64</v>
      </c>
      <c r="D52">
        <v>11.88</v>
      </c>
      <c r="E52">
        <v>42.84</v>
      </c>
      <c r="F52">
        <f t="shared" si="0"/>
        <v>5.2975984196277839</v>
      </c>
      <c r="G52">
        <f t="shared" si="1"/>
        <v>-7.4224015803722168</v>
      </c>
      <c r="H52">
        <f t="shared" si="2"/>
        <v>55.092045220311981</v>
      </c>
    </row>
    <row r="53" spans="1:8" x14ac:dyDescent="0.3">
      <c r="A53" t="s">
        <v>71</v>
      </c>
      <c r="B53">
        <v>27.84</v>
      </c>
      <c r="C53">
        <v>287.88</v>
      </c>
      <c r="D53">
        <v>49.8</v>
      </c>
      <c r="E53">
        <v>22.2</v>
      </c>
      <c r="F53">
        <f t="shared" si="0"/>
        <v>10.503493998192432</v>
      </c>
      <c r="G53">
        <f t="shared" si="1"/>
        <v>-17.336506001807567</v>
      </c>
      <c r="H53">
        <f t="shared" si="2"/>
        <v>300.5544403507098</v>
      </c>
    </row>
    <row r="54" spans="1:8" x14ac:dyDescent="0.3">
      <c r="A54" t="s">
        <v>72</v>
      </c>
      <c r="B54">
        <v>17.760000000000002</v>
      </c>
      <c r="C54">
        <v>272.64</v>
      </c>
      <c r="D54">
        <v>18.96</v>
      </c>
      <c r="E54">
        <v>59.88</v>
      </c>
      <c r="F54">
        <f t="shared" si="0"/>
        <v>7.9817039092244952</v>
      </c>
      <c r="G54">
        <f t="shared" si="1"/>
        <v>-9.7782960907755054</v>
      </c>
      <c r="H54">
        <f t="shared" si="2"/>
        <v>95.615074438875538</v>
      </c>
    </row>
    <row r="55" spans="1:8" x14ac:dyDescent="0.3">
      <c r="A55" t="s">
        <v>73</v>
      </c>
      <c r="B55">
        <v>11.64</v>
      </c>
      <c r="C55">
        <v>80.28</v>
      </c>
      <c r="D55">
        <v>14.04</v>
      </c>
      <c r="E55">
        <v>44.16</v>
      </c>
      <c r="F55">
        <f t="shared" si="0"/>
        <v>5.1652855347636715</v>
      </c>
      <c r="G55">
        <f t="shared" si="1"/>
        <v>-6.4747144652363291</v>
      </c>
      <c r="H55">
        <f t="shared" si="2"/>
        <v>41.921927406340565</v>
      </c>
    </row>
    <row r="56" spans="1:8" x14ac:dyDescent="0.3">
      <c r="A56" t="s">
        <v>74</v>
      </c>
      <c r="B56">
        <v>13.68</v>
      </c>
      <c r="C56">
        <v>239.76</v>
      </c>
      <c r="D56">
        <v>3.72</v>
      </c>
      <c r="E56">
        <v>41.52</v>
      </c>
      <c r="F56">
        <f t="shared" si="0"/>
        <v>6.165735941353951</v>
      </c>
      <c r="G56">
        <f t="shared" si="1"/>
        <v>-7.5142640586460487</v>
      </c>
      <c r="H56">
        <f t="shared" si="2"/>
        <v>56.464164343059792</v>
      </c>
    </row>
    <row r="57" spans="1:8" x14ac:dyDescent="0.3">
      <c r="A57" t="s">
        <v>75</v>
      </c>
      <c r="B57">
        <v>12.84</v>
      </c>
      <c r="C57">
        <v>120.48</v>
      </c>
      <c r="D57">
        <v>11.52</v>
      </c>
      <c r="E57">
        <v>4.32</v>
      </c>
      <c r="F57">
        <f t="shared" si="0"/>
        <v>5.1397600133037127</v>
      </c>
      <c r="G57">
        <f t="shared" si="1"/>
        <v>-7.7002399866962872</v>
      </c>
      <c r="H57">
        <f t="shared" si="2"/>
        <v>59.293695852716439</v>
      </c>
    </row>
    <row r="58" spans="1:8" x14ac:dyDescent="0.3">
      <c r="A58" t="s">
        <v>76</v>
      </c>
      <c r="B58">
        <v>27.12</v>
      </c>
      <c r="C58">
        <v>259.68</v>
      </c>
      <c r="D58">
        <v>50.04</v>
      </c>
      <c r="E58">
        <v>47.52</v>
      </c>
      <c r="F58">
        <f t="shared" si="0"/>
        <v>10.372793610225337</v>
      </c>
      <c r="G58">
        <f t="shared" si="1"/>
        <v>-16.747206389774664</v>
      </c>
      <c r="H58">
        <f t="shared" si="2"/>
        <v>280.46892186170936</v>
      </c>
    </row>
    <row r="59" spans="1:8" x14ac:dyDescent="0.3">
      <c r="A59" t="s">
        <v>77</v>
      </c>
      <c r="B59">
        <v>25.44</v>
      </c>
      <c r="C59">
        <v>219.12</v>
      </c>
      <c r="D59">
        <v>55.44</v>
      </c>
      <c r="E59">
        <v>70.44</v>
      </c>
      <c r="F59">
        <f t="shared" si="0"/>
        <v>10.515273089074924</v>
      </c>
      <c r="G59">
        <f t="shared" si="1"/>
        <v>-14.924726910925077</v>
      </c>
      <c r="H59">
        <f t="shared" si="2"/>
        <v>222.74747336569121</v>
      </c>
    </row>
    <row r="60" spans="1:8" x14ac:dyDescent="0.3">
      <c r="A60" t="s">
        <v>78</v>
      </c>
      <c r="B60">
        <v>24.24</v>
      </c>
      <c r="C60">
        <v>315.24</v>
      </c>
      <c r="D60">
        <v>34.56</v>
      </c>
      <c r="E60">
        <v>19.079999999999998</v>
      </c>
      <c r="F60">
        <f t="shared" si="0"/>
        <v>9.5138579456634567</v>
      </c>
      <c r="G60">
        <f t="shared" si="1"/>
        <v>-14.726142054336542</v>
      </c>
      <c r="H60">
        <f t="shared" si="2"/>
        <v>216.85925980449926</v>
      </c>
    </row>
    <row r="61" spans="1:8" x14ac:dyDescent="0.3">
      <c r="A61" t="s">
        <v>79</v>
      </c>
      <c r="B61">
        <v>28.44</v>
      </c>
      <c r="C61">
        <v>238.68</v>
      </c>
      <c r="D61">
        <v>59.28</v>
      </c>
      <c r="E61">
        <v>72</v>
      </c>
      <c r="F61">
        <f t="shared" si="0"/>
        <v>11.084507155333693</v>
      </c>
      <c r="G61">
        <f t="shared" si="1"/>
        <v>-17.355492844666308</v>
      </c>
      <c r="H61">
        <f t="shared" si="2"/>
        <v>301.21313188126345</v>
      </c>
    </row>
    <row r="62" spans="1:8" x14ac:dyDescent="0.3">
      <c r="A62" t="s">
        <v>80</v>
      </c>
      <c r="B62">
        <v>6.6</v>
      </c>
      <c r="C62">
        <v>8.76</v>
      </c>
      <c r="D62">
        <v>33.72</v>
      </c>
      <c r="E62">
        <v>49.68</v>
      </c>
      <c r="F62">
        <f t="shared" si="0"/>
        <v>6.0241713506253376</v>
      </c>
      <c r="G62">
        <f t="shared" si="1"/>
        <v>-0.57582864937466205</v>
      </c>
      <c r="H62">
        <f t="shared" si="2"/>
        <v>0.33157863344064747</v>
      </c>
    </row>
    <row r="63" spans="1:8" x14ac:dyDescent="0.3">
      <c r="A63" t="s">
        <v>81</v>
      </c>
      <c r="B63">
        <v>15.84</v>
      </c>
      <c r="C63">
        <v>163.44</v>
      </c>
      <c r="D63">
        <v>23.04</v>
      </c>
      <c r="E63">
        <v>19.920000000000002</v>
      </c>
      <c r="F63">
        <f t="shared" si="0"/>
        <v>6.7400531268085002</v>
      </c>
      <c r="G63">
        <f t="shared" si="1"/>
        <v>-9.0999468731914988</v>
      </c>
      <c r="H63">
        <f t="shared" si="2"/>
        <v>82.809033094907733</v>
      </c>
    </row>
    <row r="64" spans="1:8" x14ac:dyDescent="0.3">
      <c r="A64" t="s">
        <v>82</v>
      </c>
      <c r="B64">
        <v>28.56</v>
      </c>
      <c r="C64">
        <v>252.96</v>
      </c>
      <c r="D64">
        <v>59.52</v>
      </c>
      <c r="E64">
        <v>45.24</v>
      </c>
      <c r="F64">
        <f t="shared" si="0"/>
        <v>11.080077757779748</v>
      </c>
      <c r="G64">
        <f t="shared" si="1"/>
        <v>-17.479922242220251</v>
      </c>
      <c r="H64">
        <f t="shared" si="2"/>
        <v>305.54768159406626</v>
      </c>
    </row>
    <row r="65" spans="1:8" x14ac:dyDescent="0.3">
      <c r="A65" t="s">
        <v>83</v>
      </c>
      <c r="B65">
        <v>22.08</v>
      </c>
      <c r="C65">
        <v>252.84</v>
      </c>
      <c r="D65">
        <v>35.4</v>
      </c>
      <c r="E65">
        <v>11.16</v>
      </c>
      <c r="F65">
        <f t="shared" si="0"/>
        <v>8.7862587790808782</v>
      </c>
      <c r="G65">
        <f t="shared" si="1"/>
        <v>-13.29374122091912</v>
      </c>
      <c r="H65">
        <f t="shared" si="2"/>
        <v>176.72355564876418</v>
      </c>
    </row>
    <row r="66" spans="1:8" x14ac:dyDescent="0.3">
      <c r="A66" t="s">
        <v>84</v>
      </c>
      <c r="B66">
        <v>9.7200000000000006</v>
      </c>
      <c r="C66">
        <v>64.2</v>
      </c>
      <c r="D66">
        <v>2.4</v>
      </c>
      <c r="E66">
        <v>25.68</v>
      </c>
      <c r="F66">
        <f t="shared" si="0"/>
        <v>3.8532130420593456</v>
      </c>
      <c r="G66">
        <f t="shared" si="1"/>
        <v>-5.8667869579406551</v>
      </c>
      <c r="H66">
        <f t="shared" si="2"/>
        <v>34.419189209862566</v>
      </c>
    </row>
    <row r="67" spans="1:8" x14ac:dyDescent="0.3">
      <c r="A67" t="s">
        <v>85</v>
      </c>
      <c r="B67">
        <v>29.04</v>
      </c>
      <c r="C67">
        <v>313.56</v>
      </c>
      <c r="D67">
        <v>51.24</v>
      </c>
      <c r="E67">
        <v>65.64</v>
      </c>
      <c r="F67">
        <f t="shared" si="0"/>
        <v>11.246227536215827</v>
      </c>
      <c r="G67">
        <f t="shared" si="1"/>
        <v>-17.793772463784173</v>
      </c>
      <c r="H67">
        <f t="shared" si="2"/>
        <v>316.61833849292384</v>
      </c>
    </row>
    <row r="68" spans="1:8" x14ac:dyDescent="0.3">
      <c r="A68" t="s">
        <v>86</v>
      </c>
      <c r="B68">
        <v>18.84</v>
      </c>
      <c r="C68">
        <v>287.16000000000003</v>
      </c>
      <c r="D68">
        <v>18.600000000000001</v>
      </c>
      <c r="E68">
        <v>32.76</v>
      </c>
      <c r="F68">
        <f t="shared" si="0"/>
        <v>7.9266444567280665</v>
      </c>
      <c r="G68">
        <f t="shared" si="1"/>
        <v>-10.913355543271933</v>
      </c>
      <c r="H68">
        <f t="shared" si="2"/>
        <v>119.10132921386423</v>
      </c>
    </row>
    <row r="69" spans="1:8" x14ac:dyDescent="0.3">
      <c r="A69" t="s">
        <v>87</v>
      </c>
      <c r="B69">
        <v>16.8</v>
      </c>
      <c r="C69">
        <v>123.24</v>
      </c>
      <c r="D69">
        <v>35.520000000000003</v>
      </c>
      <c r="E69">
        <v>10.08</v>
      </c>
      <c r="F69">
        <f t="shared" si="0"/>
        <v>7.2490209834397055</v>
      </c>
      <c r="G69">
        <f t="shared" si="1"/>
        <v>-9.5509790165602944</v>
      </c>
      <c r="H69">
        <f t="shared" si="2"/>
        <v>91.221200174775049</v>
      </c>
    </row>
    <row r="70" spans="1:8" x14ac:dyDescent="0.3">
      <c r="A70" t="s">
        <v>88</v>
      </c>
      <c r="B70">
        <v>21.6</v>
      </c>
      <c r="C70">
        <v>157.32</v>
      </c>
      <c r="D70">
        <v>51.36</v>
      </c>
      <c r="E70">
        <v>34.68</v>
      </c>
      <c r="F70">
        <f t="shared" si="0"/>
        <v>9.1754438073980538</v>
      </c>
      <c r="G70">
        <f t="shared" si="1"/>
        <v>-12.424556192601948</v>
      </c>
      <c r="H70">
        <f t="shared" si="2"/>
        <v>154.36959658312341</v>
      </c>
    </row>
    <row r="71" spans="1:8" x14ac:dyDescent="0.3">
      <c r="A71" t="s">
        <v>89</v>
      </c>
      <c r="B71">
        <v>11.16</v>
      </c>
      <c r="C71">
        <v>82.8</v>
      </c>
      <c r="D71">
        <v>11.16</v>
      </c>
      <c r="E71">
        <v>1.08</v>
      </c>
      <c r="F71">
        <f t="shared" ref="F71:F134" si="3">$B$2+SUMPRODUCT($C$2:$E$2,C71:E71)</f>
        <v>4.6380876516778606</v>
      </c>
      <c r="G71">
        <f t="shared" ref="G71:G134" si="4">F71-B71</f>
        <v>-6.5219123483221395</v>
      </c>
      <c r="H71">
        <f t="shared" ref="H71:H134" si="5">G71^2</f>
        <v>42.535340679196807</v>
      </c>
    </row>
    <row r="72" spans="1:8" x14ac:dyDescent="0.3">
      <c r="A72" t="s">
        <v>90</v>
      </c>
      <c r="B72">
        <v>11.4</v>
      </c>
      <c r="C72">
        <v>37.799999999999997</v>
      </c>
      <c r="D72">
        <v>29.52</v>
      </c>
      <c r="E72">
        <v>2.64</v>
      </c>
      <c r="F72">
        <f t="shared" si="3"/>
        <v>5.6713398985245194</v>
      </c>
      <c r="G72">
        <f t="shared" si="4"/>
        <v>-5.728660101475481</v>
      </c>
      <c r="H72">
        <f t="shared" si="5"/>
        <v>32.817546558237069</v>
      </c>
    </row>
    <row r="73" spans="1:8" x14ac:dyDescent="0.3">
      <c r="A73" t="s">
        <v>91</v>
      </c>
      <c r="B73">
        <v>16.079999999999998</v>
      </c>
      <c r="C73">
        <v>167.16</v>
      </c>
      <c r="D73">
        <v>17.399999999999999</v>
      </c>
      <c r="E73">
        <v>12.24</v>
      </c>
      <c r="F73">
        <f t="shared" si="3"/>
        <v>6.2503113101265919</v>
      </c>
      <c r="G73">
        <f t="shared" si="4"/>
        <v>-9.8296886898734073</v>
      </c>
      <c r="H73">
        <f t="shared" si="5"/>
        <v>96.622779739825177</v>
      </c>
    </row>
    <row r="74" spans="1:8" x14ac:dyDescent="0.3">
      <c r="A74" t="s">
        <v>92</v>
      </c>
      <c r="B74">
        <v>22.68</v>
      </c>
      <c r="C74">
        <v>284.88</v>
      </c>
      <c r="D74">
        <v>33</v>
      </c>
      <c r="E74">
        <v>13.2</v>
      </c>
      <c r="F74">
        <f t="shared" si="3"/>
        <v>8.9782313694895741</v>
      </c>
      <c r="G74">
        <f t="shared" si="4"/>
        <v>-13.701768630510426</v>
      </c>
      <c r="H74">
        <f t="shared" si="5"/>
        <v>187.73846360403954</v>
      </c>
    </row>
    <row r="75" spans="1:8" x14ac:dyDescent="0.3">
      <c r="A75" t="s">
        <v>93</v>
      </c>
      <c r="B75">
        <v>26.76</v>
      </c>
      <c r="C75">
        <v>260.16000000000003</v>
      </c>
      <c r="D75">
        <v>52.68</v>
      </c>
      <c r="E75">
        <v>32.64</v>
      </c>
      <c r="F75">
        <f t="shared" si="3"/>
        <v>10.494200668734639</v>
      </c>
      <c r="G75">
        <f t="shared" si="4"/>
        <v>-16.265799331265363</v>
      </c>
      <c r="H75">
        <f t="shared" si="5"/>
        <v>264.5762278849927</v>
      </c>
    </row>
    <row r="76" spans="1:8" x14ac:dyDescent="0.3">
      <c r="A76" t="s">
        <v>94</v>
      </c>
      <c r="B76">
        <v>21.96</v>
      </c>
      <c r="C76">
        <v>238.92</v>
      </c>
      <c r="D76">
        <v>36.72</v>
      </c>
      <c r="E76">
        <v>46.44</v>
      </c>
      <c r="F76">
        <f t="shared" si="3"/>
        <v>8.9891137885904797</v>
      </c>
      <c r="G76">
        <f t="shared" si="4"/>
        <v>-12.970886211409521</v>
      </c>
      <c r="H76">
        <f t="shared" si="5"/>
        <v>168.24388910933365</v>
      </c>
    </row>
    <row r="77" spans="1:8" x14ac:dyDescent="0.3">
      <c r="A77" t="s">
        <v>95</v>
      </c>
      <c r="B77">
        <v>14.88</v>
      </c>
      <c r="C77">
        <v>131.76</v>
      </c>
      <c r="D77">
        <v>17.16</v>
      </c>
      <c r="E77">
        <v>38.04</v>
      </c>
      <c r="F77">
        <f t="shared" si="3"/>
        <v>5.9968742337171062</v>
      </c>
      <c r="G77">
        <f t="shared" si="4"/>
        <v>-8.8831257662828946</v>
      </c>
      <c r="H77">
        <f t="shared" si="5"/>
        <v>78.909923379599064</v>
      </c>
    </row>
    <row r="78" spans="1:8" x14ac:dyDescent="0.3">
      <c r="A78" t="s">
        <v>96</v>
      </c>
      <c r="B78">
        <v>10.56</v>
      </c>
      <c r="C78">
        <v>32.159999999999997</v>
      </c>
      <c r="D78">
        <v>39.6</v>
      </c>
      <c r="E78">
        <v>23.16</v>
      </c>
      <c r="F78">
        <f t="shared" si="3"/>
        <v>6.6079627003045314</v>
      </c>
      <c r="G78">
        <f t="shared" si="4"/>
        <v>-3.9520372996954691</v>
      </c>
      <c r="H78">
        <f t="shared" si="5"/>
        <v>15.618598818184255</v>
      </c>
    </row>
    <row r="79" spans="1:8" x14ac:dyDescent="0.3">
      <c r="A79" t="s">
        <v>97</v>
      </c>
      <c r="B79">
        <v>13.2</v>
      </c>
      <c r="C79">
        <v>155.28</v>
      </c>
      <c r="D79">
        <v>6.84</v>
      </c>
      <c r="E79">
        <v>37.56</v>
      </c>
      <c r="F79">
        <f t="shared" si="3"/>
        <v>5.3978997779956579</v>
      </c>
      <c r="G79">
        <f t="shared" si="4"/>
        <v>-7.8021002220043414</v>
      </c>
      <c r="H79">
        <f t="shared" si="5"/>
        <v>60.872767874200193</v>
      </c>
    </row>
    <row r="80" spans="1:8" x14ac:dyDescent="0.3">
      <c r="A80" t="s">
        <v>98</v>
      </c>
      <c r="B80">
        <v>20.399999999999999</v>
      </c>
      <c r="C80">
        <v>256.08</v>
      </c>
      <c r="D80">
        <v>29.52</v>
      </c>
      <c r="E80">
        <v>15.72</v>
      </c>
      <c r="F80">
        <f t="shared" si="3"/>
        <v>8.359392879504318</v>
      </c>
      <c r="G80">
        <f t="shared" si="4"/>
        <v>-12.040607120495681</v>
      </c>
      <c r="H80">
        <f t="shared" si="5"/>
        <v>144.9762198301313</v>
      </c>
    </row>
    <row r="81" spans="1:8" x14ac:dyDescent="0.3">
      <c r="A81" t="s">
        <v>99</v>
      </c>
      <c r="B81">
        <v>10.44</v>
      </c>
      <c r="C81">
        <v>20.28</v>
      </c>
      <c r="D81">
        <v>52.44</v>
      </c>
      <c r="E81">
        <v>107.28</v>
      </c>
      <c r="F81">
        <f t="shared" si="3"/>
        <v>8.1664979820961001</v>
      </c>
      <c r="G81">
        <f t="shared" si="4"/>
        <v>-2.2735020179038994</v>
      </c>
      <c r="H81">
        <f t="shared" si="5"/>
        <v>5.1688114254131028</v>
      </c>
    </row>
    <row r="82" spans="1:8" x14ac:dyDescent="0.3">
      <c r="A82" t="s">
        <v>100</v>
      </c>
      <c r="B82">
        <v>8.2799999999999994</v>
      </c>
      <c r="C82">
        <v>33</v>
      </c>
      <c r="D82">
        <v>1.92</v>
      </c>
      <c r="E82">
        <v>24.84</v>
      </c>
      <c r="F82">
        <f t="shared" si="3"/>
        <v>3.4357819113721977</v>
      </c>
      <c r="G82">
        <f t="shared" si="4"/>
        <v>-4.8442180886278017</v>
      </c>
      <c r="H82">
        <f t="shared" si="5"/>
        <v>23.466448890188794</v>
      </c>
    </row>
    <row r="83" spans="1:8" x14ac:dyDescent="0.3">
      <c r="A83" t="s">
        <v>101</v>
      </c>
      <c r="B83">
        <v>17.04</v>
      </c>
      <c r="C83">
        <v>144.6</v>
      </c>
      <c r="D83">
        <v>34.200000000000003</v>
      </c>
      <c r="E83">
        <v>17.04</v>
      </c>
      <c r="F83">
        <f t="shared" si="3"/>
        <v>7.4414243394397612</v>
      </c>
      <c r="G83">
        <f t="shared" si="4"/>
        <v>-9.5985756605602379</v>
      </c>
      <c r="H83">
        <f t="shared" si="5"/>
        <v>92.132654711499413</v>
      </c>
    </row>
    <row r="84" spans="1:8" x14ac:dyDescent="0.3">
      <c r="A84" t="s">
        <v>102</v>
      </c>
      <c r="B84">
        <v>6.36</v>
      </c>
      <c r="C84">
        <v>6.48</v>
      </c>
      <c r="D84">
        <v>35.880000000000003</v>
      </c>
      <c r="E84">
        <v>11.28</v>
      </c>
      <c r="F84">
        <f t="shared" si="3"/>
        <v>5.9012247311699193</v>
      </c>
      <c r="G84">
        <f t="shared" si="4"/>
        <v>-0.45877526883008102</v>
      </c>
      <c r="H84">
        <f t="shared" si="5"/>
        <v>0.21047474729011312</v>
      </c>
    </row>
    <row r="85" spans="1:8" x14ac:dyDescent="0.3">
      <c r="A85" t="s">
        <v>103</v>
      </c>
      <c r="B85">
        <v>13.2</v>
      </c>
      <c r="C85">
        <v>139.19999999999999</v>
      </c>
      <c r="D85">
        <v>9.24</v>
      </c>
      <c r="E85">
        <v>27.72</v>
      </c>
      <c r="F85">
        <f t="shared" si="3"/>
        <v>5.3388542920651565</v>
      </c>
      <c r="G85">
        <f t="shared" si="4"/>
        <v>-7.8611457079348428</v>
      </c>
      <c r="H85">
        <f t="shared" si="5"/>
        <v>61.797611841382398</v>
      </c>
    </row>
    <row r="86" spans="1:8" x14ac:dyDescent="0.3">
      <c r="A86" t="s">
        <v>104</v>
      </c>
      <c r="B86">
        <v>14.16</v>
      </c>
      <c r="C86">
        <v>91.68</v>
      </c>
      <c r="D86">
        <v>32.04</v>
      </c>
      <c r="E86">
        <v>26.76</v>
      </c>
      <c r="F86">
        <f t="shared" si="3"/>
        <v>6.700268655544952</v>
      </c>
      <c r="G86">
        <f t="shared" si="4"/>
        <v>-7.4597313444550482</v>
      </c>
      <c r="H86">
        <f t="shared" si="5"/>
        <v>55.647591731445118</v>
      </c>
    </row>
    <row r="87" spans="1:8" x14ac:dyDescent="0.3">
      <c r="A87" t="s">
        <v>105</v>
      </c>
      <c r="B87">
        <v>14.76</v>
      </c>
      <c r="C87">
        <v>287.76</v>
      </c>
      <c r="D87">
        <v>4.92</v>
      </c>
      <c r="E87">
        <v>44.28</v>
      </c>
      <c r="F87">
        <f t="shared" si="3"/>
        <v>6.857727993736181</v>
      </c>
      <c r="G87">
        <f t="shared" si="4"/>
        <v>-7.9022720062638188</v>
      </c>
      <c r="H87">
        <f t="shared" si="5"/>
        <v>62.445902860980802</v>
      </c>
    </row>
    <row r="88" spans="1:8" x14ac:dyDescent="0.3">
      <c r="A88" t="s">
        <v>106</v>
      </c>
      <c r="B88">
        <v>13.56</v>
      </c>
      <c r="C88">
        <v>90.36</v>
      </c>
      <c r="D88">
        <v>24.36</v>
      </c>
      <c r="E88">
        <v>39</v>
      </c>
      <c r="F88">
        <f t="shared" si="3"/>
        <v>6.1224314731837648</v>
      </c>
      <c r="G88">
        <f t="shared" si="4"/>
        <v>-7.4375685268162357</v>
      </c>
      <c r="H88">
        <f t="shared" si="5"/>
        <v>55.317425591087428</v>
      </c>
    </row>
    <row r="89" spans="1:8" x14ac:dyDescent="0.3">
      <c r="A89" t="s">
        <v>107</v>
      </c>
      <c r="B89">
        <v>16.32</v>
      </c>
      <c r="C89">
        <v>82.08</v>
      </c>
      <c r="D89">
        <v>53.4</v>
      </c>
      <c r="E89">
        <v>42.72</v>
      </c>
      <c r="F89">
        <f t="shared" si="3"/>
        <v>8.5129953453217198</v>
      </c>
      <c r="G89">
        <f t="shared" si="4"/>
        <v>-7.8070046546782805</v>
      </c>
      <c r="H89">
        <f t="shared" si="5"/>
        <v>60.949321678168339</v>
      </c>
    </row>
    <row r="90" spans="1:8" x14ac:dyDescent="0.3">
      <c r="A90" t="s">
        <v>108</v>
      </c>
      <c r="B90">
        <v>26.04</v>
      </c>
      <c r="C90">
        <v>256.2</v>
      </c>
      <c r="D90">
        <v>51.6</v>
      </c>
      <c r="E90">
        <v>40.56</v>
      </c>
      <c r="F90">
        <f t="shared" si="3"/>
        <v>10.413139430249764</v>
      </c>
      <c r="G90">
        <f t="shared" si="4"/>
        <v>-15.626860569750235</v>
      </c>
      <c r="H90">
        <f t="shared" si="5"/>
        <v>244.19877126641464</v>
      </c>
    </row>
    <row r="91" spans="1:8" x14ac:dyDescent="0.3">
      <c r="A91" t="s">
        <v>109</v>
      </c>
      <c r="B91">
        <v>18.239999999999998</v>
      </c>
      <c r="C91">
        <v>231.84</v>
      </c>
      <c r="D91">
        <v>22.08</v>
      </c>
      <c r="E91">
        <v>78.84</v>
      </c>
      <c r="F91">
        <f t="shared" si="3"/>
        <v>7.8992731358349646</v>
      </c>
      <c r="G91">
        <f t="shared" si="4"/>
        <v>-10.340726864165035</v>
      </c>
      <c r="H91">
        <f t="shared" si="5"/>
        <v>106.93063207926443</v>
      </c>
    </row>
    <row r="92" spans="1:8" x14ac:dyDescent="0.3">
      <c r="A92" t="s">
        <v>110</v>
      </c>
      <c r="B92">
        <v>14.4</v>
      </c>
      <c r="C92">
        <v>91.56</v>
      </c>
      <c r="D92">
        <v>33</v>
      </c>
      <c r="E92">
        <v>19.2</v>
      </c>
      <c r="F92">
        <f t="shared" si="3"/>
        <v>6.7253044012276444</v>
      </c>
      <c r="G92">
        <f t="shared" si="4"/>
        <v>-7.674695598772356</v>
      </c>
      <c r="H92">
        <f t="shared" si="5"/>
        <v>58.900952533815769</v>
      </c>
    </row>
    <row r="93" spans="1:8" x14ac:dyDescent="0.3">
      <c r="A93" t="s">
        <v>111</v>
      </c>
      <c r="B93">
        <v>19.2</v>
      </c>
      <c r="C93">
        <v>132.84</v>
      </c>
      <c r="D93">
        <v>48.72</v>
      </c>
      <c r="E93">
        <v>75.84</v>
      </c>
      <c r="F93">
        <f t="shared" si="3"/>
        <v>8.9598578416139283</v>
      </c>
      <c r="G93">
        <f t="shared" si="4"/>
        <v>-10.240142158386071</v>
      </c>
      <c r="H93">
        <f t="shared" si="5"/>
        <v>104.86051142395574</v>
      </c>
    </row>
    <row r="94" spans="1:8" x14ac:dyDescent="0.3">
      <c r="A94" t="s">
        <v>112</v>
      </c>
      <c r="B94">
        <v>15.48</v>
      </c>
      <c r="C94">
        <v>105.96</v>
      </c>
      <c r="D94">
        <v>30.6</v>
      </c>
      <c r="E94">
        <v>88.08</v>
      </c>
      <c r="F94">
        <f t="shared" si="3"/>
        <v>7.1933214508407319</v>
      </c>
      <c r="G94">
        <f t="shared" si="4"/>
        <v>-8.2866785491592694</v>
      </c>
      <c r="H94">
        <f t="shared" si="5"/>
        <v>68.669041377096377</v>
      </c>
    </row>
    <row r="95" spans="1:8" x14ac:dyDescent="0.3">
      <c r="A95" t="s">
        <v>113</v>
      </c>
      <c r="B95">
        <v>20.04</v>
      </c>
      <c r="C95">
        <v>131.76</v>
      </c>
      <c r="D95">
        <v>57.36</v>
      </c>
      <c r="E95">
        <v>61.68</v>
      </c>
      <c r="F95">
        <f t="shared" si="3"/>
        <v>9.5766207492864268</v>
      </c>
      <c r="G95">
        <f t="shared" si="4"/>
        <v>-10.463379250713572</v>
      </c>
      <c r="H95">
        <f t="shared" si="5"/>
        <v>109.48230534426332</v>
      </c>
    </row>
    <row r="96" spans="1:8" x14ac:dyDescent="0.3">
      <c r="A96" t="s">
        <v>114</v>
      </c>
      <c r="B96">
        <v>13.44</v>
      </c>
      <c r="C96">
        <v>161.16</v>
      </c>
      <c r="D96">
        <v>5.88</v>
      </c>
      <c r="E96">
        <v>11.16</v>
      </c>
      <c r="F96">
        <f t="shared" si="3"/>
        <v>5.1945678401525219</v>
      </c>
      <c r="G96">
        <f t="shared" si="4"/>
        <v>-8.2454321598474785</v>
      </c>
      <c r="H96">
        <f t="shared" si="5"/>
        <v>67.987151502647052</v>
      </c>
    </row>
    <row r="97" spans="1:8" x14ac:dyDescent="0.3">
      <c r="A97" t="s">
        <v>115</v>
      </c>
      <c r="B97">
        <v>8.76</v>
      </c>
      <c r="C97">
        <v>34.32</v>
      </c>
      <c r="D97">
        <v>1.8</v>
      </c>
      <c r="E97">
        <v>39.6</v>
      </c>
      <c r="F97">
        <f t="shared" si="3"/>
        <v>3.5485217474113551</v>
      </c>
      <c r="G97">
        <f t="shared" si="4"/>
        <v>-5.2114782525886447</v>
      </c>
      <c r="H97">
        <f t="shared" si="5"/>
        <v>27.159505577204392</v>
      </c>
    </row>
    <row r="98" spans="1:8" x14ac:dyDescent="0.3">
      <c r="A98" t="s">
        <v>116</v>
      </c>
      <c r="B98">
        <v>23.28</v>
      </c>
      <c r="C98">
        <v>261.24</v>
      </c>
      <c r="D98">
        <v>40.200000000000003</v>
      </c>
      <c r="E98">
        <v>70.8</v>
      </c>
      <c r="F98">
        <f t="shared" si="3"/>
        <v>9.7262587399180269</v>
      </c>
      <c r="G98">
        <f t="shared" si="4"/>
        <v>-13.553741260081974</v>
      </c>
      <c r="H98">
        <f t="shared" si="5"/>
        <v>183.70390214524849</v>
      </c>
    </row>
    <row r="99" spans="1:8" x14ac:dyDescent="0.3">
      <c r="A99" t="s">
        <v>117</v>
      </c>
      <c r="B99">
        <v>26.64</v>
      </c>
      <c r="C99">
        <v>301.08</v>
      </c>
      <c r="D99">
        <v>43.8</v>
      </c>
      <c r="E99">
        <v>86.76</v>
      </c>
      <c r="F99">
        <f t="shared" si="3"/>
        <v>10.620676695450904</v>
      </c>
      <c r="G99">
        <f t="shared" si="4"/>
        <v>-16.019323304549097</v>
      </c>
      <c r="H99">
        <f t="shared" si="5"/>
        <v>256.61871913566978</v>
      </c>
    </row>
    <row r="100" spans="1:8" x14ac:dyDescent="0.3">
      <c r="A100" t="s">
        <v>118</v>
      </c>
      <c r="B100">
        <v>13.8</v>
      </c>
      <c r="C100">
        <v>128.88</v>
      </c>
      <c r="D100">
        <v>16.8</v>
      </c>
      <c r="E100">
        <v>13.08</v>
      </c>
      <c r="F100">
        <f t="shared" si="3"/>
        <v>5.7508064889447237</v>
      </c>
      <c r="G100">
        <f t="shared" si="4"/>
        <v>-8.049193511055277</v>
      </c>
      <c r="H100">
        <f t="shared" si="5"/>
        <v>64.789516178414374</v>
      </c>
    </row>
    <row r="101" spans="1:8" x14ac:dyDescent="0.3">
      <c r="A101" t="s">
        <v>119</v>
      </c>
      <c r="B101">
        <v>20.28</v>
      </c>
      <c r="C101">
        <v>195.96</v>
      </c>
      <c r="D101">
        <v>37.92</v>
      </c>
      <c r="E101">
        <v>63.48</v>
      </c>
      <c r="F101">
        <f t="shared" si="3"/>
        <v>8.7043045192751585</v>
      </c>
      <c r="G101">
        <f t="shared" si="4"/>
        <v>-11.575695480724843</v>
      </c>
      <c r="H101">
        <f t="shared" si="5"/>
        <v>133.99672586247354</v>
      </c>
    </row>
    <row r="102" spans="1:8" x14ac:dyDescent="0.3">
      <c r="A102" t="s">
        <v>120</v>
      </c>
      <c r="B102">
        <v>14.04</v>
      </c>
      <c r="C102">
        <v>237.12</v>
      </c>
      <c r="D102">
        <v>4.2</v>
      </c>
      <c r="E102">
        <v>7.08</v>
      </c>
      <c r="F102">
        <f t="shared" si="3"/>
        <v>5.9248584678943477</v>
      </c>
      <c r="G102">
        <f t="shared" si="4"/>
        <v>-8.1151415321056515</v>
      </c>
      <c r="H102">
        <f t="shared" si="5"/>
        <v>65.855522086106063</v>
      </c>
    </row>
    <row r="103" spans="1:8" x14ac:dyDescent="0.3">
      <c r="A103" t="s">
        <v>121</v>
      </c>
      <c r="B103">
        <v>18.600000000000001</v>
      </c>
      <c r="C103">
        <v>221.88</v>
      </c>
      <c r="D103">
        <v>25.2</v>
      </c>
      <c r="E103">
        <v>26.4</v>
      </c>
      <c r="F103">
        <f t="shared" si="3"/>
        <v>7.6644767624955499</v>
      </c>
      <c r="G103">
        <f t="shared" si="4"/>
        <v>-10.935523237504452</v>
      </c>
      <c r="H103">
        <f t="shared" si="5"/>
        <v>119.58566847799985</v>
      </c>
    </row>
    <row r="104" spans="1:8" x14ac:dyDescent="0.3">
      <c r="A104" t="s">
        <v>122</v>
      </c>
      <c r="B104">
        <v>30.48</v>
      </c>
      <c r="C104">
        <v>347.64</v>
      </c>
      <c r="D104">
        <v>50.76</v>
      </c>
      <c r="E104">
        <v>61.44</v>
      </c>
      <c r="F104">
        <f t="shared" si="3"/>
        <v>11.579870245888948</v>
      </c>
      <c r="G104">
        <f t="shared" si="4"/>
        <v>-18.900129754111052</v>
      </c>
      <c r="H104">
        <f t="shared" si="5"/>
        <v>357.21490472223394</v>
      </c>
    </row>
    <row r="105" spans="1:8" x14ac:dyDescent="0.3">
      <c r="A105" t="s">
        <v>123</v>
      </c>
      <c r="B105">
        <v>20.64</v>
      </c>
      <c r="C105">
        <v>162.24</v>
      </c>
      <c r="D105">
        <v>50.04</v>
      </c>
      <c r="E105">
        <v>55.08</v>
      </c>
      <c r="F105">
        <f t="shared" si="3"/>
        <v>9.2701928812110221</v>
      </c>
      <c r="G105">
        <f t="shared" si="4"/>
        <v>-11.369807118788978</v>
      </c>
      <c r="H105">
        <f t="shared" si="5"/>
        <v>129.27251391846454</v>
      </c>
    </row>
    <row r="106" spans="1:8" x14ac:dyDescent="0.3">
      <c r="A106" t="s">
        <v>124</v>
      </c>
      <c r="B106">
        <v>14.04</v>
      </c>
      <c r="C106">
        <v>266.88</v>
      </c>
      <c r="D106">
        <v>5.16</v>
      </c>
      <c r="E106">
        <v>59.76</v>
      </c>
      <c r="F106">
        <f t="shared" si="3"/>
        <v>6.7424963520130454</v>
      </c>
      <c r="G106">
        <f t="shared" si="4"/>
        <v>-7.2975036479869537</v>
      </c>
      <c r="H106">
        <f t="shared" si="5"/>
        <v>53.253559492382898</v>
      </c>
    </row>
    <row r="107" spans="1:8" x14ac:dyDescent="0.3">
      <c r="A107" t="s">
        <v>125</v>
      </c>
      <c r="B107">
        <v>28.56</v>
      </c>
      <c r="C107">
        <v>355.68</v>
      </c>
      <c r="D107">
        <v>43.56</v>
      </c>
      <c r="E107">
        <v>121.08</v>
      </c>
      <c r="F107">
        <f t="shared" si="3"/>
        <v>11.498280026004288</v>
      </c>
      <c r="G107">
        <f t="shared" si="4"/>
        <v>-17.061719973995711</v>
      </c>
      <c r="H107">
        <f t="shared" si="5"/>
        <v>291.10228847104418</v>
      </c>
    </row>
    <row r="108" spans="1:8" x14ac:dyDescent="0.3">
      <c r="A108" t="s">
        <v>126</v>
      </c>
      <c r="B108">
        <v>17.760000000000002</v>
      </c>
      <c r="C108">
        <v>336.24</v>
      </c>
      <c r="D108">
        <v>12.12</v>
      </c>
      <c r="E108">
        <v>25.68</v>
      </c>
      <c r="F108">
        <f t="shared" si="3"/>
        <v>7.9088973556564763</v>
      </c>
      <c r="G108">
        <f t="shared" si="4"/>
        <v>-9.8511026443435252</v>
      </c>
      <c r="H108">
        <f t="shared" si="5"/>
        <v>97.044223309391995</v>
      </c>
    </row>
    <row r="109" spans="1:8" x14ac:dyDescent="0.3">
      <c r="A109" t="s">
        <v>127</v>
      </c>
      <c r="B109">
        <v>17.64</v>
      </c>
      <c r="C109">
        <v>225.48</v>
      </c>
      <c r="D109">
        <v>20.64</v>
      </c>
      <c r="E109">
        <v>21.48</v>
      </c>
      <c r="F109">
        <f t="shared" si="3"/>
        <v>7.2849192015635085</v>
      </c>
      <c r="G109">
        <f t="shared" si="4"/>
        <v>-10.355080798436493</v>
      </c>
      <c r="H109">
        <f t="shared" si="5"/>
        <v>107.22769834214816</v>
      </c>
    </row>
    <row r="110" spans="1:8" x14ac:dyDescent="0.3">
      <c r="A110" t="s">
        <v>128</v>
      </c>
      <c r="B110">
        <v>24.84</v>
      </c>
      <c r="C110">
        <v>285.83999999999997</v>
      </c>
      <c r="D110">
        <v>41.16</v>
      </c>
      <c r="E110">
        <v>6.36</v>
      </c>
      <c r="F110">
        <f t="shared" si="3"/>
        <v>9.6317158281260404</v>
      </c>
      <c r="G110">
        <f t="shared" si="4"/>
        <v>-15.208284171873959</v>
      </c>
      <c r="H110">
        <f t="shared" si="5"/>
        <v>231.291907452472</v>
      </c>
    </row>
    <row r="111" spans="1:8" x14ac:dyDescent="0.3">
      <c r="A111" t="s">
        <v>129</v>
      </c>
      <c r="B111">
        <v>23.04</v>
      </c>
      <c r="C111">
        <v>165.48</v>
      </c>
      <c r="D111">
        <v>55.68</v>
      </c>
      <c r="E111">
        <v>70.8</v>
      </c>
      <c r="F111">
        <f t="shared" si="3"/>
        <v>9.9010260699979611</v>
      </c>
      <c r="G111">
        <f t="shared" si="4"/>
        <v>-13.138973930002038</v>
      </c>
      <c r="H111">
        <f t="shared" si="5"/>
        <v>172.63263593327321</v>
      </c>
    </row>
    <row r="112" spans="1:8" x14ac:dyDescent="0.3">
      <c r="A112" t="s">
        <v>130</v>
      </c>
      <c r="B112">
        <v>8.64</v>
      </c>
      <c r="C112">
        <v>30</v>
      </c>
      <c r="D112">
        <v>13.2</v>
      </c>
      <c r="E112">
        <v>35.64</v>
      </c>
      <c r="F112">
        <f t="shared" si="3"/>
        <v>4.4348812363664187</v>
      </c>
      <c r="G112">
        <f t="shared" si="4"/>
        <v>-4.2051187636335818</v>
      </c>
      <c r="H112">
        <f t="shared" si="5"/>
        <v>17.683023816263223</v>
      </c>
    </row>
    <row r="113" spans="1:8" x14ac:dyDescent="0.3">
      <c r="A113" t="s">
        <v>131</v>
      </c>
      <c r="B113">
        <v>10.44</v>
      </c>
      <c r="C113">
        <v>108.48</v>
      </c>
      <c r="D113">
        <v>0.36</v>
      </c>
      <c r="E113">
        <v>27.84</v>
      </c>
      <c r="F113">
        <f t="shared" si="3"/>
        <v>4.2219801776124113</v>
      </c>
      <c r="G113">
        <f t="shared" si="4"/>
        <v>-6.2180198223875882</v>
      </c>
      <c r="H113">
        <f t="shared" si="5"/>
        <v>38.663770511604973</v>
      </c>
    </row>
    <row r="114" spans="1:8" x14ac:dyDescent="0.3">
      <c r="A114" t="s">
        <v>132</v>
      </c>
      <c r="B114">
        <v>6.36</v>
      </c>
      <c r="C114">
        <v>15.72</v>
      </c>
      <c r="D114">
        <v>0.48</v>
      </c>
      <c r="E114">
        <v>30.72</v>
      </c>
      <c r="F114">
        <f t="shared" si="3"/>
        <v>3.1511475153649444</v>
      </c>
      <c r="G114">
        <f t="shared" si="4"/>
        <v>-3.2088524846350559</v>
      </c>
      <c r="H114">
        <f t="shared" si="5"/>
        <v>10.296734268148573</v>
      </c>
    </row>
    <row r="115" spans="1:8" x14ac:dyDescent="0.3">
      <c r="A115" t="s">
        <v>133</v>
      </c>
      <c r="B115">
        <v>23.76</v>
      </c>
      <c r="C115">
        <v>306.48</v>
      </c>
      <c r="D115">
        <v>32.28</v>
      </c>
      <c r="E115">
        <v>6.6</v>
      </c>
      <c r="F115">
        <f t="shared" si="3"/>
        <v>9.1258372976500244</v>
      </c>
      <c r="G115">
        <f t="shared" si="4"/>
        <v>-14.634162702349977</v>
      </c>
      <c r="H115">
        <f t="shared" si="5"/>
        <v>214.15871799885119</v>
      </c>
    </row>
    <row r="116" spans="1:8" x14ac:dyDescent="0.3">
      <c r="A116" t="s">
        <v>134</v>
      </c>
      <c r="B116">
        <v>16.079999999999998</v>
      </c>
      <c r="C116">
        <v>270.95999999999998</v>
      </c>
      <c r="D116">
        <v>9.84</v>
      </c>
      <c r="E116">
        <v>67.8</v>
      </c>
      <c r="F116">
        <f t="shared" si="3"/>
        <v>7.2461274846119297</v>
      </c>
      <c r="G116">
        <f t="shared" si="4"/>
        <v>-8.8338725153880695</v>
      </c>
      <c r="H116">
        <f t="shared" si="5"/>
        <v>78.037303618128732</v>
      </c>
    </row>
    <row r="117" spans="1:8" x14ac:dyDescent="0.3">
      <c r="A117" t="s">
        <v>135</v>
      </c>
      <c r="B117">
        <v>26.16</v>
      </c>
      <c r="C117">
        <v>290.04000000000002</v>
      </c>
      <c r="D117">
        <v>45.6</v>
      </c>
      <c r="E117">
        <v>27.84</v>
      </c>
      <c r="F117">
        <f t="shared" si="3"/>
        <v>10.214068558788927</v>
      </c>
      <c r="G117">
        <f t="shared" si="4"/>
        <v>-15.945931441211073</v>
      </c>
      <c r="H117">
        <f t="shared" si="5"/>
        <v>254.27272952780385</v>
      </c>
    </row>
    <row r="118" spans="1:8" x14ac:dyDescent="0.3">
      <c r="A118" t="s">
        <v>136</v>
      </c>
      <c r="B118">
        <v>16.920000000000002</v>
      </c>
      <c r="C118">
        <v>210.84</v>
      </c>
      <c r="D118">
        <v>18.48</v>
      </c>
      <c r="E118">
        <v>2.88</v>
      </c>
      <c r="F118">
        <f t="shared" si="3"/>
        <v>6.7927589299449469</v>
      </c>
      <c r="G118">
        <f t="shared" si="4"/>
        <v>-10.127241070055055</v>
      </c>
      <c r="H118">
        <f t="shared" si="5"/>
        <v>102.56101169100985</v>
      </c>
    </row>
    <row r="119" spans="1:8" x14ac:dyDescent="0.3">
      <c r="A119" t="s">
        <v>137</v>
      </c>
      <c r="B119">
        <v>19.079999999999998</v>
      </c>
      <c r="C119">
        <v>251.52</v>
      </c>
      <c r="D119">
        <v>24.72</v>
      </c>
      <c r="E119">
        <v>12.84</v>
      </c>
      <c r="F119">
        <f t="shared" si="3"/>
        <v>7.8773742063795176</v>
      </c>
      <c r="G119">
        <f t="shared" si="4"/>
        <v>-11.202625793620481</v>
      </c>
      <c r="H119">
        <f t="shared" si="5"/>
        <v>125.4988246718909</v>
      </c>
    </row>
    <row r="120" spans="1:8" x14ac:dyDescent="0.3">
      <c r="A120" t="s">
        <v>138</v>
      </c>
      <c r="B120">
        <v>17.52</v>
      </c>
      <c r="C120">
        <v>93.84</v>
      </c>
      <c r="D120">
        <v>56.16</v>
      </c>
      <c r="E120">
        <v>41.4</v>
      </c>
      <c r="F120">
        <f t="shared" si="3"/>
        <v>8.8770888414418998</v>
      </c>
      <c r="G120">
        <f t="shared" si="4"/>
        <v>-8.6429111585580998</v>
      </c>
      <c r="H120">
        <f t="shared" si="5"/>
        <v>74.69991329472812</v>
      </c>
    </row>
    <row r="121" spans="1:8" x14ac:dyDescent="0.3">
      <c r="A121" t="s">
        <v>139</v>
      </c>
      <c r="B121">
        <v>15.12</v>
      </c>
      <c r="C121">
        <v>90.12</v>
      </c>
      <c r="D121">
        <v>42</v>
      </c>
      <c r="E121">
        <v>63.24</v>
      </c>
      <c r="F121">
        <f t="shared" si="3"/>
        <v>7.7911363855177562</v>
      </c>
      <c r="G121">
        <f t="shared" si="4"/>
        <v>-7.328863614482243</v>
      </c>
      <c r="H121">
        <f t="shared" si="5"/>
        <v>53.712241879681727</v>
      </c>
    </row>
    <row r="122" spans="1:8" x14ac:dyDescent="0.3">
      <c r="A122" t="s">
        <v>140</v>
      </c>
      <c r="B122">
        <v>14.64</v>
      </c>
      <c r="C122">
        <v>167.04</v>
      </c>
      <c r="D122">
        <v>17.16</v>
      </c>
      <c r="E122">
        <v>30.72</v>
      </c>
      <c r="F122">
        <f t="shared" si="3"/>
        <v>6.3627977428011189</v>
      </c>
      <c r="G122">
        <f t="shared" si="4"/>
        <v>-8.2772022571988817</v>
      </c>
      <c r="H122">
        <f t="shared" si="5"/>
        <v>68.512077206578269</v>
      </c>
    </row>
    <row r="123" spans="1:8" x14ac:dyDescent="0.3">
      <c r="A123" t="s">
        <v>141</v>
      </c>
      <c r="B123">
        <v>11.28</v>
      </c>
      <c r="C123">
        <v>91.68</v>
      </c>
      <c r="D123">
        <v>0.96</v>
      </c>
      <c r="E123">
        <v>17.760000000000002</v>
      </c>
      <c r="F123">
        <f t="shared" si="3"/>
        <v>4.000040899440954</v>
      </c>
      <c r="G123">
        <f t="shared" si="4"/>
        <v>-7.2799591005590454</v>
      </c>
      <c r="H123">
        <f t="shared" si="5"/>
        <v>52.997804505812468</v>
      </c>
    </row>
    <row r="124" spans="1:8" x14ac:dyDescent="0.3">
      <c r="A124" t="s">
        <v>142</v>
      </c>
      <c r="B124">
        <v>19.079999999999998</v>
      </c>
      <c r="C124">
        <v>150.84</v>
      </c>
      <c r="D124">
        <v>44.28</v>
      </c>
      <c r="E124">
        <v>95.04</v>
      </c>
      <c r="F124">
        <f t="shared" si="3"/>
        <v>8.9367692995339194</v>
      </c>
      <c r="G124">
        <f t="shared" si="4"/>
        <v>-10.143230700466079</v>
      </c>
      <c r="H124">
        <f t="shared" si="5"/>
        <v>102.88512904287758</v>
      </c>
    </row>
    <row r="125" spans="1:8" x14ac:dyDescent="0.3">
      <c r="A125" t="s">
        <v>143</v>
      </c>
      <c r="B125">
        <v>7.92</v>
      </c>
      <c r="C125">
        <v>23.28</v>
      </c>
      <c r="D125">
        <v>19.2</v>
      </c>
      <c r="E125">
        <v>26.76</v>
      </c>
      <c r="F125">
        <f t="shared" si="3"/>
        <v>4.7991950693279009</v>
      </c>
      <c r="G125">
        <f t="shared" si="4"/>
        <v>-3.1208049306720991</v>
      </c>
      <c r="H125">
        <f t="shared" si="5"/>
        <v>9.7394234153072858</v>
      </c>
    </row>
    <row r="126" spans="1:8" x14ac:dyDescent="0.3">
      <c r="A126" t="s">
        <v>144</v>
      </c>
      <c r="B126">
        <v>18.600000000000001</v>
      </c>
      <c r="C126">
        <v>169.56</v>
      </c>
      <c r="D126">
        <v>32.159999999999997</v>
      </c>
      <c r="E126">
        <v>55.44</v>
      </c>
      <c r="F126">
        <f t="shared" si="3"/>
        <v>7.8439679125644028</v>
      </c>
      <c r="G126">
        <f t="shared" si="4"/>
        <v>-10.756032087435599</v>
      </c>
      <c r="H126">
        <f t="shared" si="5"/>
        <v>115.69222626594421</v>
      </c>
    </row>
    <row r="127" spans="1:8" x14ac:dyDescent="0.3">
      <c r="A127" t="s">
        <v>145</v>
      </c>
      <c r="B127">
        <v>8.4</v>
      </c>
      <c r="C127">
        <v>22.56</v>
      </c>
      <c r="D127">
        <v>26.04</v>
      </c>
      <c r="E127">
        <v>60.48</v>
      </c>
      <c r="F127">
        <f t="shared" si="3"/>
        <v>5.6154883665436497</v>
      </c>
      <c r="G127">
        <f t="shared" si="4"/>
        <v>-2.7845116334563507</v>
      </c>
      <c r="H127">
        <f t="shared" si="5"/>
        <v>7.7535050368537544</v>
      </c>
    </row>
    <row r="128" spans="1:8" x14ac:dyDescent="0.3">
      <c r="A128" t="s">
        <v>146</v>
      </c>
      <c r="B128">
        <v>13.92</v>
      </c>
      <c r="C128">
        <v>268.8</v>
      </c>
      <c r="D128">
        <v>2.88</v>
      </c>
      <c r="E128">
        <v>18.72</v>
      </c>
      <c r="F128">
        <f t="shared" si="3"/>
        <v>6.2738572487701703</v>
      </c>
      <c r="G128">
        <f t="shared" si="4"/>
        <v>-7.6461427512298297</v>
      </c>
      <c r="H128">
        <f t="shared" si="5"/>
        <v>58.463498972184468</v>
      </c>
    </row>
    <row r="129" spans="1:8" x14ac:dyDescent="0.3">
      <c r="A129" t="s">
        <v>147</v>
      </c>
      <c r="B129">
        <v>18.239999999999998</v>
      </c>
      <c r="C129">
        <v>147.72</v>
      </c>
      <c r="D129">
        <v>41.52</v>
      </c>
      <c r="E129">
        <v>14.88</v>
      </c>
      <c r="F129">
        <f t="shared" si="3"/>
        <v>8.0833567166954712</v>
      </c>
      <c r="G129">
        <f t="shared" si="4"/>
        <v>-10.156643283304527</v>
      </c>
      <c r="H129">
        <f t="shared" si="5"/>
        <v>103.15740278429497</v>
      </c>
    </row>
    <row r="130" spans="1:8" x14ac:dyDescent="0.3">
      <c r="A130" t="s">
        <v>148</v>
      </c>
      <c r="B130">
        <v>23.64</v>
      </c>
      <c r="C130">
        <v>275.39999999999998</v>
      </c>
      <c r="D130">
        <v>38.76</v>
      </c>
      <c r="E130">
        <v>89.04</v>
      </c>
      <c r="F130">
        <f t="shared" si="3"/>
        <v>9.9049074164817821</v>
      </c>
      <c r="G130">
        <f t="shared" si="4"/>
        <v>-13.735092583518218</v>
      </c>
      <c r="H130">
        <f t="shared" si="5"/>
        <v>188.65276827781716</v>
      </c>
    </row>
    <row r="131" spans="1:8" x14ac:dyDescent="0.3">
      <c r="A131" t="s">
        <v>149</v>
      </c>
      <c r="B131">
        <v>12.72</v>
      </c>
      <c r="C131">
        <v>104.64</v>
      </c>
      <c r="D131">
        <v>14.16</v>
      </c>
      <c r="E131">
        <v>31.08</v>
      </c>
      <c r="F131">
        <f t="shared" si="3"/>
        <v>5.3698128808089409</v>
      </c>
      <c r="G131">
        <f t="shared" si="4"/>
        <v>-7.3501871191910597</v>
      </c>
      <c r="H131">
        <f t="shared" si="5"/>
        <v>54.025250687122167</v>
      </c>
    </row>
    <row r="132" spans="1:8" x14ac:dyDescent="0.3">
      <c r="A132" t="s">
        <v>150</v>
      </c>
      <c r="B132">
        <v>7.92</v>
      </c>
      <c r="C132">
        <v>9.36</v>
      </c>
      <c r="D132">
        <v>46.68</v>
      </c>
      <c r="E132">
        <v>60.72</v>
      </c>
      <c r="F132">
        <f t="shared" si="3"/>
        <v>7.2102038799986001</v>
      </c>
      <c r="G132">
        <f t="shared" si="4"/>
        <v>-0.7097961200013998</v>
      </c>
      <c r="H132">
        <f t="shared" si="5"/>
        <v>0.50381053196904158</v>
      </c>
    </row>
    <row r="133" spans="1:8" x14ac:dyDescent="0.3">
      <c r="A133" t="s">
        <v>151</v>
      </c>
      <c r="B133">
        <v>10.56</v>
      </c>
      <c r="C133">
        <v>96.24</v>
      </c>
      <c r="D133">
        <v>0</v>
      </c>
      <c r="E133">
        <v>11.04</v>
      </c>
      <c r="F133">
        <f t="shared" si="3"/>
        <v>3.9240045048122969</v>
      </c>
      <c r="G133">
        <f t="shared" si="4"/>
        <v>-6.6359954951877036</v>
      </c>
      <c r="H133">
        <f t="shared" si="5"/>
        <v>44.036436212151493</v>
      </c>
    </row>
    <row r="134" spans="1:8" x14ac:dyDescent="0.3">
      <c r="A134" t="s">
        <v>152</v>
      </c>
      <c r="B134">
        <v>29.64</v>
      </c>
      <c r="C134">
        <v>264.36</v>
      </c>
      <c r="D134">
        <v>58.8</v>
      </c>
      <c r="E134">
        <v>3.84</v>
      </c>
      <c r="F134">
        <f t="shared" si="3"/>
        <v>10.853690308789233</v>
      </c>
      <c r="G134">
        <f t="shared" si="4"/>
        <v>-18.786309691210768</v>
      </c>
      <c r="H134">
        <f t="shared" si="5"/>
        <v>352.92543181407962</v>
      </c>
    </row>
    <row r="135" spans="1:8" x14ac:dyDescent="0.3">
      <c r="A135" t="s">
        <v>153</v>
      </c>
      <c r="B135">
        <v>11.64</v>
      </c>
      <c r="C135">
        <v>71.52</v>
      </c>
      <c r="D135">
        <v>14.4</v>
      </c>
      <c r="E135">
        <v>51.72</v>
      </c>
      <c r="F135">
        <f t="shared" ref="F135:F198" si="6">$B$2+SUMPRODUCT($C$2:$E$2,C135:E135)</f>
        <v>5.1466655959535368</v>
      </c>
      <c r="G135">
        <f t="shared" ref="G135:G198" si="7">F135-B135</f>
        <v>-6.4933344040464638</v>
      </c>
      <c r="H135">
        <f t="shared" ref="H135:H198" si="8">G135^2</f>
        <v>42.163391682773444</v>
      </c>
    </row>
    <row r="136" spans="1:8" x14ac:dyDescent="0.3">
      <c r="A136" t="s">
        <v>154</v>
      </c>
      <c r="B136">
        <v>1.92</v>
      </c>
      <c r="C136">
        <v>0.84</v>
      </c>
      <c r="D136">
        <v>47.52</v>
      </c>
      <c r="E136">
        <v>10.44</v>
      </c>
      <c r="F136">
        <f t="shared" si="6"/>
        <v>6.8149167146012877</v>
      </c>
      <c r="G136">
        <f t="shared" si="7"/>
        <v>4.8949167146012877</v>
      </c>
      <c r="H136">
        <f t="shared" si="8"/>
        <v>23.960209642883065</v>
      </c>
    </row>
    <row r="137" spans="1:8" x14ac:dyDescent="0.3">
      <c r="A137" t="s">
        <v>155</v>
      </c>
      <c r="B137">
        <v>15.24</v>
      </c>
      <c r="C137">
        <v>318.24</v>
      </c>
      <c r="D137">
        <v>3.48</v>
      </c>
      <c r="E137">
        <v>51.6</v>
      </c>
      <c r="F137">
        <f t="shared" si="6"/>
        <v>7.1509133697922902</v>
      </c>
      <c r="G137">
        <f t="shared" si="7"/>
        <v>-8.08908663020771</v>
      </c>
      <c r="H137">
        <f t="shared" si="8"/>
        <v>65.43332251100513</v>
      </c>
    </row>
    <row r="138" spans="1:8" x14ac:dyDescent="0.3">
      <c r="A138" t="s">
        <v>156</v>
      </c>
      <c r="B138">
        <v>6.84</v>
      </c>
      <c r="C138">
        <v>10.08</v>
      </c>
      <c r="D138">
        <v>32.64</v>
      </c>
      <c r="E138">
        <v>2.52</v>
      </c>
      <c r="F138">
        <f t="shared" si="6"/>
        <v>5.6056738540176676</v>
      </c>
      <c r="G138">
        <f t="shared" si="7"/>
        <v>-1.2343261459823323</v>
      </c>
      <c r="H138">
        <f t="shared" si="8"/>
        <v>1.5235610346555979</v>
      </c>
    </row>
    <row r="139" spans="1:8" x14ac:dyDescent="0.3">
      <c r="A139" t="s">
        <v>157</v>
      </c>
      <c r="B139">
        <v>23.52</v>
      </c>
      <c r="C139">
        <v>263.76</v>
      </c>
      <c r="D139">
        <v>40.200000000000003</v>
      </c>
      <c r="E139">
        <v>54.12</v>
      </c>
      <c r="F139">
        <f t="shared" si="6"/>
        <v>9.6350135919897628</v>
      </c>
      <c r="G139">
        <f t="shared" si="7"/>
        <v>-13.884986408010237</v>
      </c>
      <c r="H139">
        <f t="shared" si="8"/>
        <v>192.79284755062901</v>
      </c>
    </row>
    <row r="140" spans="1:8" x14ac:dyDescent="0.3">
      <c r="A140" t="s">
        <v>158</v>
      </c>
      <c r="B140">
        <v>12.96</v>
      </c>
      <c r="C140">
        <v>44.28</v>
      </c>
      <c r="D140">
        <v>46.32</v>
      </c>
      <c r="E140">
        <v>78.72</v>
      </c>
      <c r="F140">
        <f t="shared" si="6"/>
        <v>7.725282620352508</v>
      </c>
      <c r="G140">
        <f t="shared" si="7"/>
        <v>-5.2347173796474928</v>
      </c>
      <c r="H140">
        <f t="shared" si="8"/>
        <v>27.402266044783513</v>
      </c>
    </row>
    <row r="141" spans="1:8" x14ac:dyDescent="0.3">
      <c r="A141" t="s">
        <v>159</v>
      </c>
      <c r="B141">
        <v>13.92</v>
      </c>
      <c r="C141">
        <v>57.96</v>
      </c>
      <c r="D141">
        <v>56.4</v>
      </c>
      <c r="E141">
        <v>10.199999999999999</v>
      </c>
      <c r="F141">
        <f t="shared" si="6"/>
        <v>8.2445340480967175</v>
      </c>
      <c r="G141">
        <f t="shared" si="7"/>
        <v>-5.6754659519032824</v>
      </c>
      <c r="H141">
        <f t="shared" si="8"/>
        <v>32.210913771213434</v>
      </c>
    </row>
    <row r="142" spans="1:8" x14ac:dyDescent="0.3">
      <c r="A142" t="s">
        <v>160</v>
      </c>
      <c r="B142">
        <v>11.4</v>
      </c>
      <c r="C142">
        <v>30.72</v>
      </c>
      <c r="D142">
        <v>46.8</v>
      </c>
      <c r="E142">
        <v>11.16</v>
      </c>
      <c r="F142">
        <f t="shared" si="6"/>
        <v>7.1140639261098961</v>
      </c>
      <c r="G142">
        <f t="shared" si="7"/>
        <v>-4.2859360738901042</v>
      </c>
      <c r="H142">
        <f t="shared" si="8"/>
        <v>18.369248029472519</v>
      </c>
    </row>
    <row r="143" spans="1:8" x14ac:dyDescent="0.3">
      <c r="A143" t="s">
        <v>161</v>
      </c>
      <c r="B143">
        <v>24.96</v>
      </c>
      <c r="C143">
        <v>328.44</v>
      </c>
      <c r="D143">
        <v>34.68</v>
      </c>
      <c r="E143">
        <v>71.64</v>
      </c>
      <c r="F143">
        <f t="shared" si="6"/>
        <v>10.062689917760245</v>
      </c>
      <c r="G143">
        <f t="shared" si="7"/>
        <v>-14.897310082239756</v>
      </c>
      <c r="H143">
        <f t="shared" si="8"/>
        <v>221.92984768640227</v>
      </c>
    </row>
    <row r="144" spans="1:8" x14ac:dyDescent="0.3">
      <c r="A144" t="s">
        <v>162</v>
      </c>
      <c r="B144">
        <v>11.52</v>
      </c>
      <c r="C144">
        <v>51.6</v>
      </c>
      <c r="D144">
        <v>31.08</v>
      </c>
      <c r="E144">
        <v>24.6</v>
      </c>
      <c r="F144">
        <f t="shared" si="6"/>
        <v>6.1270664164903597</v>
      </c>
      <c r="G144">
        <f t="shared" si="7"/>
        <v>-5.3929335835096399</v>
      </c>
      <c r="H144">
        <f t="shared" si="8"/>
        <v>29.083732636146127</v>
      </c>
    </row>
    <row r="145" spans="1:8" x14ac:dyDescent="0.3">
      <c r="A145" t="s">
        <v>163</v>
      </c>
      <c r="B145">
        <v>24.84</v>
      </c>
      <c r="C145">
        <v>221.88</v>
      </c>
      <c r="D145">
        <v>52.68</v>
      </c>
      <c r="E145">
        <v>2.04</v>
      </c>
      <c r="F145">
        <f t="shared" si="6"/>
        <v>9.8171481796312641</v>
      </c>
      <c r="G145">
        <f t="shared" si="7"/>
        <v>-15.022851820368736</v>
      </c>
      <c r="H145">
        <f t="shared" si="8"/>
        <v>225.68607681675624</v>
      </c>
    </row>
    <row r="146" spans="1:8" x14ac:dyDescent="0.3">
      <c r="A146" t="s">
        <v>164</v>
      </c>
      <c r="B146">
        <v>13.08</v>
      </c>
      <c r="C146">
        <v>88.08</v>
      </c>
      <c r="D146">
        <v>20.399999999999999</v>
      </c>
      <c r="E146">
        <v>15.48</v>
      </c>
      <c r="F146">
        <f t="shared" si="6"/>
        <v>5.5887589390608046</v>
      </c>
      <c r="G146">
        <f t="shared" si="7"/>
        <v>-7.4912410609391955</v>
      </c>
      <c r="H146">
        <f t="shared" si="8"/>
        <v>56.118692633101404</v>
      </c>
    </row>
    <row r="147" spans="1:8" x14ac:dyDescent="0.3">
      <c r="A147" t="s">
        <v>165</v>
      </c>
      <c r="B147">
        <v>23.04</v>
      </c>
      <c r="C147">
        <v>232.44</v>
      </c>
      <c r="D147">
        <v>42.48</v>
      </c>
      <c r="E147">
        <v>90.72</v>
      </c>
      <c r="F147">
        <f t="shared" si="6"/>
        <v>9.7221427514820782</v>
      </c>
      <c r="G147">
        <f t="shared" si="7"/>
        <v>-13.317857248517921</v>
      </c>
      <c r="H147">
        <f t="shared" si="8"/>
        <v>177.36532169190133</v>
      </c>
    </row>
    <row r="148" spans="1:8" x14ac:dyDescent="0.3">
      <c r="A148" t="s">
        <v>166</v>
      </c>
      <c r="B148">
        <v>24.12</v>
      </c>
      <c r="C148">
        <v>264.60000000000002</v>
      </c>
      <c r="D148">
        <v>39.840000000000003</v>
      </c>
      <c r="E148">
        <v>45.48</v>
      </c>
      <c r="F148">
        <f t="shared" si="6"/>
        <v>9.5517027630209164</v>
      </c>
      <c r="G148">
        <f t="shared" si="7"/>
        <v>-14.568297236979085</v>
      </c>
      <c r="H148">
        <f t="shared" si="8"/>
        <v>212.23528438497243</v>
      </c>
    </row>
    <row r="149" spans="1:8" x14ac:dyDescent="0.3">
      <c r="A149" t="s">
        <v>167</v>
      </c>
      <c r="B149">
        <v>12.48</v>
      </c>
      <c r="C149">
        <v>125.52</v>
      </c>
      <c r="D149">
        <v>6.84</v>
      </c>
      <c r="E149">
        <v>41.28</v>
      </c>
      <c r="F149">
        <f t="shared" si="6"/>
        <v>5.0713961195298003</v>
      </c>
      <c r="G149">
        <f t="shared" si="7"/>
        <v>-7.4086038804702001</v>
      </c>
      <c r="H149">
        <f t="shared" si="8"/>
        <v>54.887411457718109</v>
      </c>
    </row>
    <row r="150" spans="1:8" x14ac:dyDescent="0.3">
      <c r="A150" t="s">
        <v>168</v>
      </c>
      <c r="B150">
        <v>13.68</v>
      </c>
      <c r="C150">
        <v>115.44</v>
      </c>
      <c r="D150">
        <v>17.760000000000002</v>
      </c>
      <c r="E150">
        <v>46.68</v>
      </c>
      <c r="F150">
        <f t="shared" si="6"/>
        <v>5.9166388880323559</v>
      </c>
      <c r="G150">
        <f t="shared" si="7"/>
        <v>-7.7633611119676438</v>
      </c>
      <c r="H150">
        <f t="shared" si="8"/>
        <v>60.269775754811491</v>
      </c>
    </row>
    <row r="151" spans="1:8" x14ac:dyDescent="0.3">
      <c r="A151" t="s">
        <v>169</v>
      </c>
      <c r="B151">
        <v>12.36</v>
      </c>
      <c r="C151">
        <v>168.36</v>
      </c>
      <c r="D151">
        <v>2.2799999999999998</v>
      </c>
      <c r="E151">
        <v>10.8</v>
      </c>
      <c r="F151">
        <f t="shared" si="6"/>
        <v>4.9722897071243271</v>
      </c>
      <c r="G151">
        <f t="shared" si="7"/>
        <v>-7.3877102928756724</v>
      </c>
      <c r="H151">
        <f t="shared" si="8"/>
        <v>54.578263371461155</v>
      </c>
    </row>
    <row r="152" spans="1:8" x14ac:dyDescent="0.3">
      <c r="A152" t="s">
        <v>170</v>
      </c>
      <c r="B152">
        <v>15.84</v>
      </c>
      <c r="C152">
        <v>288.12</v>
      </c>
      <c r="D152">
        <v>8.76</v>
      </c>
      <c r="E152">
        <v>10.44</v>
      </c>
      <c r="F152">
        <f t="shared" si="6"/>
        <v>6.9416954361626422</v>
      </c>
      <c r="G152">
        <f t="shared" si="7"/>
        <v>-8.8983045638373568</v>
      </c>
      <c r="H152">
        <f t="shared" si="8"/>
        <v>79.179824110808738</v>
      </c>
    </row>
    <row r="153" spans="1:8" x14ac:dyDescent="0.3">
      <c r="A153" t="s">
        <v>171</v>
      </c>
      <c r="B153">
        <v>30.48</v>
      </c>
      <c r="C153">
        <v>291.83999999999997</v>
      </c>
      <c r="D153">
        <v>58.8</v>
      </c>
      <c r="E153">
        <v>53.16</v>
      </c>
      <c r="F153">
        <f t="shared" si="6"/>
        <v>11.538447583027729</v>
      </c>
      <c r="G153">
        <f t="shared" si="7"/>
        <v>-18.941552416972272</v>
      </c>
      <c r="H153">
        <f t="shared" si="8"/>
        <v>358.78240796490809</v>
      </c>
    </row>
    <row r="154" spans="1:8" x14ac:dyDescent="0.3">
      <c r="A154" t="s">
        <v>172</v>
      </c>
      <c r="B154">
        <v>13.08</v>
      </c>
      <c r="C154">
        <v>45.6</v>
      </c>
      <c r="D154">
        <v>48.36</v>
      </c>
      <c r="E154">
        <v>14.28</v>
      </c>
      <c r="F154">
        <f t="shared" si="6"/>
        <v>7.4457465018894027</v>
      </c>
      <c r="G154">
        <f t="shared" si="7"/>
        <v>-5.6342534981105974</v>
      </c>
      <c r="H154">
        <f t="shared" si="8"/>
        <v>31.744812480971504</v>
      </c>
    </row>
    <row r="155" spans="1:8" x14ac:dyDescent="0.3">
      <c r="A155" t="s">
        <v>173</v>
      </c>
      <c r="B155">
        <v>12.12</v>
      </c>
      <c r="C155">
        <v>53.64</v>
      </c>
      <c r="D155">
        <v>30.96</v>
      </c>
      <c r="E155">
        <v>24.72</v>
      </c>
      <c r="F155">
        <f t="shared" si="6"/>
        <v>6.1419989753930668</v>
      </c>
      <c r="G155">
        <f t="shared" si="7"/>
        <v>-5.9780010246069324</v>
      </c>
      <c r="H155">
        <f t="shared" si="8"/>
        <v>35.736496250201533</v>
      </c>
    </row>
    <row r="156" spans="1:8" x14ac:dyDescent="0.3">
      <c r="A156" t="s">
        <v>174</v>
      </c>
      <c r="B156">
        <v>19.32</v>
      </c>
      <c r="C156">
        <v>336.84</v>
      </c>
      <c r="D156">
        <v>16.68</v>
      </c>
      <c r="E156">
        <v>44.4</v>
      </c>
      <c r="F156">
        <f t="shared" si="6"/>
        <v>8.4386059836192899</v>
      </c>
      <c r="G156">
        <f t="shared" si="7"/>
        <v>-10.88139401638071</v>
      </c>
      <c r="H156">
        <f t="shared" si="8"/>
        <v>118.40473573972592</v>
      </c>
    </row>
    <row r="157" spans="1:8" x14ac:dyDescent="0.3">
      <c r="A157" t="s">
        <v>175</v>
      </c>
      <c r="B157">
        <v>13.92</v>
      </c>
      <c r="C157">
        <v>145.19999999999999</v>
      </c>
      <c r="D157">
        <v>10.08</v>
      </c>
      <c r="E157">
        <v>58.44</v>
      </c>
      <c r="F157">
        <f t="shared" si="6"/>
        <v>5.7045248956149734</v>
      </c>
      <c r="G157">
        <f t="shared" si="7"/>
        <v>-8.2154751043850265</v>
      </c>
      <c r="H157">
        <f t="shared" si="8"/>
        <v>67.494031190770158</v>
      </c>
    </row>
    <row r="158" spans="1:8" x14ac:dyDescent="0.3">
      <c r="A158" t="s">
        <v>176</v>
      </c>
      <c r="B158">
        <v>19.920000000000002</v>
      </c>
      <c r="C158">
        <v>237.12</v>
      </c>
      <c r="D158">
        <v>27.96</v>
      </c>
      <c r="E158">
        <v>17.04</v>
      </c>
      <c r="F158">
        <f t="shared" si="6"/>
        <v>8.0114993739531215</v>
      </c>
      <c r="G158">
        <f t="shared" si="7"/>
        <v>-11.90850062604688</v>
      </c>
      <c r="H158">
        <f t="shared" si="8"/>
        <v>141.81238716055893</v>
      </c>
    </row>
    <row r="159" spans="1:8" x14ac:dyDescent="0.3">
      <c r="A159" t="s">
        <v>177</v>
      </c>
      <c r="B159">
        <v>22.8</v>
      </c>
      <c r="C159">
        <v>205.56</v>
      </c>
      <c r="D159">
        <v>47.64</v>
      </c>
      <c r="E159">
        <v>45.24</v>
      </c>
      <c r="F159">
        <f t="shared" si="6"/>
        <v>9.5098557582668484</v>
      </c>
      <c r="G159">
        <f t="shared" si="7"/>
        <v>-13.290144241733152</v>
      </c>
      <c r="H159">
        <f t="shared" si="8"/>
        <v>176.62793396607287</v>
      </c>
    </row>
    <row r="160" spans="1:8" x14ac:dyDescent="0.3">
      <c r="A160" t="s">
        <v>178</v>
      </c>
      <c r="B160">
        <v>18.72</v>
      </c>
      <c r="C160">
        <v>225.36</v>
      </c>
      <c r="D160">
        <v>25.32</v>
      </c>
      <c r="E160">
        <v>11.4</v>
      </c>
      <c r="F160">
        <f t="shared" si="6"/>
        <v>7.6070142268754593</v>
      </c>
      <c r="G160">
        <f t="shared" si="7"/>
        <v>-11.112985773124539</v>
      </c>
      <c r="H160">
        <f t="shared" si="8"/>
        <v>123.49845279366841</v>
      </c>
    </row>
    <row r="161" spans="1:8" x14ac:dyDescent="0.3">
      <c r="A161" t="s">
        <v>179</v>
      </c>
      <c r="B161">
        <v>3.84</v>
      </c>
      <c r="C161">
        <v>4.92</v>
      </c>
      <c r="D161">
        <v>13.92</v>
      </c>
      <c r="E161">
        <v>6.84</v>
      </c>
      <c r="F161">
        <f t="shared" si="6"/>
        <v>3.9887521769593732</v>
      </c>
      <c r="G161">
        <f t="shared" si="7"/>
        <v>0.14875217695937337</v>
      </c>
      <c r="H161">
        <f t="shared" si="8"/>
        <v>2.2127210150152732E-2</v>
      </c>
    </row>
    <row r="162" spans="1:8" x14ac:dyDescent="0.3">
      <c r="A162" t="s">
        <v>180</v>
      </c>
      <c r="B162">
        <v>18.36</v>
      </c>
      <c r="C162">
        <v>112.68</v>
      </c>
      <c r="D162">
        <v>52.2</v>
      </c>
      <c r="E162">
        <v>60.6</v>
      </c>
      <c r="F162">
        <f t="shared" si="6"/>
        <v>8.9046715037586246</v>
      </c>
      <c r="G162">
        <f t="shared" si="7"/>
        <v>-9.4553284962413748</v>
      </c>
      <c r="H162">
        <f t="shared" si="8"/>
        <v>89.403236971834176</v>
      </c>
    </row>
    <row r="163" spans="1:8" x14ac:dyDescent="0.3">
      <c r="A163" t="s">
        <v>181</v>
      </c>
      <c r="B163">
        <v>12.12</v>
      </c>
      <c r="C163">
        <v>179.76</v>
      </c>
      <c r="D163">
        <v>1.56</v>
      </c>
      <c r="E163">
        <v>29.16</v>
      </c>
      <c r="F163">
        <f t="shared" si="6"/>
        <v>5.1800619816774116</v>
      </c>
      <c r="G163">
        <f t="shared" si="7"/>
        <v>-6.9399380183225876</v>
      </c>
      <c r="H163">
        <f t="shared" si="8"/>
        <v>48.162739698159243</v>
      </c>
    </row>
    <row r="164" spans="1:8" x14ac:dyDescent="0.3">
      <c r="A164" t="s">
        <v>182</v>
      </c>
      <c r="B164">
        <v>8.76</v>
      </c>
      <c r="C164">
        <v>14.04</v>
      </c>
      <c r="D164">
        <v>44.28</v>
      </c>
      <c r="E164">
        <v>54.24</v>
      </c>
      <c r="F164">
        <f t="shared" si="6"/>
        <v>7.0152589880989566</v>
      </c>
      <c r="G164">
        <f t="shared" si="7"/>
        <v>-1.7447410119010431</v>
      </c>
      <c r="H164">
        <f t="shared" si="8"/>
        <v>3.0441211986094761</v>
      </c>
    </row>
    <row r="165" spans="1:8" x14ac:dyDescent="0.3">
      <c r="A165" t="s">
        <v>183</v>
      </c>
      <c r="B165">
        <v>15.48</v>
      </c>
      <c r="C165">
        <v>158.04</v>
      </c>
      <c r="D165">
        <v>22.08</v>
      </c>
      <c r="E165">
        <v>41.52</v>
      </c>
      <c r="F165">
        <f t="shared" si="6"/>
        <v>6.7514447111267151</v>
      </c>
      <c r="G165">
        <f t="shared" si="7"/>
        <v>-8.7285552888732845</v>
      </c>
      <c r="H165">
        <f t="shared" si="8"/>
        <v>76.187677430917788</v>
      </c>
    </row>
    <row r="166" spans="1:8" x14ac:dyDescent="0.3">
      <c r="A166" t="s">
        <v>184</v>
      </c>
      <c r="B166">
        <v>17.28</v>
      </c>
      <c r="C166">
        <v>207</v>
      </c>
      <c r="D166">
        <v>21.72</v>
      </c>
      <c r="E166">
        <v>36.840000000000003</v>
      </c>
      <c r="F166">
        <f t="shared" si="6"/>
        <v>7.2685381629031571</v>
      </c>
      <c r="G166">
        <f t="shared" si="7"/>
        <v>-10.011461837096844</v>
      </c>
      <c r="H166">
        <f t="shared" si="8"/>
        <v>100.22936811564651</v>
      </c>
    </row>
    <row r="167" spans="1:8" x14ac:dyDescent="0.3">
      <c r="A167" t="s">
        <v>185</v>
      </c>
      <c r="B167">
        <v>15.96</v>
      </c>
      <c r="C167">
        <v>102.84</v>
      </c>
      <c r="D167">
        <v>42.96</v>
      </c>
      <c r="E167">
        <v>59.16</v>
      </c>
      <c r="F167">
        <f t="shared" si="6"/>
        <v>7.9939854690658727</v>
      </c>
      <c r="G167">
        <f t="shared" si="7"/>
        <v>-7.9660145309341281</v>
      </c>
      <c r="H167">
        <f t="shared" si="8"/>
        <v>63.457387507053674</v>
      </c>
    </row>
    <row r="168" spans="1:8" x14ac:dyDescent="0.3">
      <c r="A168" t="s">
        <v>186</v>
      </c>
      <c r="B168">
        <v>17.88</v>
      </c>
      <c r="C168">
        <v>226.08</v>
      </c>
      <c r="D168">
        <v>21.72</v>
      </c>
      <c r="E168">
        <v>30.72</v>
      </c>
      <c r="F168">
        <f t="shared" si="6"/>
        <v>7.4507341547626149</v>
      </c>
      <c r="G168">
        <f t="shared" si="7"/>
        <v>-10.429265845237385</v>
      </c>
      <c r="H168">
        <f t="shared" si="8"/>
        <v>108.76958607063507</v>
      </c>
    </row>
    <row r="169" spans="1:8" x14ac:dyDescent="0.3">
      <c r="A169" t="s">
        <v>187</v>
      </c>
      <c r="B169">
        <v>21.6</v>
      </c>
      <c r="C169">
        <v>196.2</v>
      </c>
      <c r="D169">
        <v>44.16</v>
      </c>
      <c r="E169">
        <v>8.8800000000000008</v>
      </c>
      <c r="F169">
        <f t="shared" si="6"/>
        <v>8.8394866067309721</v>
      </c>
      <c r="G169">
        <f t="shared" si="7"/>
        <v>-12.760513393269029</v>
      </c>
      <c r="H169">
        <f t="shared" si="8"/>
        <v>162.83070205979828</v>
      </c>
    </row>
    <row r="170" spans="1:8" x14ac:dyDescent="0.3">
      <c r="A170" t="s">
        <v>188</v>
      </c>
      <c r="B170">
        <v>14.28</v>
      </c>
      <c r="C170">
        <v>140.63999999999999</v>
      </c>
      <c r="D170">
        <v>17.64</v>
      </c>
      <c r="E170">
        <v>6.48</v>
      </c>
      <c r="F170">
        <f t="shared" si="6"/>
        <v>5.9137703134681932</v>
      </c>
      <c r="G170">
        <f t="shared" si="7"/>
        <v>-8.3662296865318062</v>
      </c>
      <c r="H170">
        <f t="shared" si="8"/>
        <v>69.993799167806088</v>
      </c>
    </row>
    <row r="171" spans="1:8" x14ac:dyDescent="0.3">
      <c r="A171" t="s">
        <v>189</v>
      </c>
      <c r="B171">
        <v>14.28</v>
      </c>
      <c r="C171">
        <v>281.39999999999998</v>
      </c>
      <c r="D171">
        <v>4.08</v>
      </c>
      <c r="E171">
        <v>101.76</v>
      </c>
      <c r="F171">
        <f t="shared" si="6"/>
        <v>7.1285587268838801</v>
      </c>
      <c r="G171">
        <f t="shared" si="7"/>
        <v>-7.1514412731161192</v>
      </c>
      <c r="H171">
        <f t="shared" si="8"/>
        <v>51.143112282828703</v>
      </c>
    </row>
    <row r="172" spans="1:8" x14ac:dyDescent="0.3">
      <c r="A172" t="s">
        <v>190</v>
      </c>
      <c r="B172">
        <v>9.6</v>
      </c>
      <c r="C172">
        <v>21.48</v>
      </c>
      <c r="D172">
        <v>45.12</v>
      </c>
      <c r="E172">
        <v>25.92</v>
      </c>
      <c r="F172">
        <f t="shared" si="6"/>
        <v>6.9691069822778555</v>
      </c>
      <c r="G172">
        <f t="shared" si="7"/>
        <v>-2.6308930177221441</v>
      </c>
      <c r="H172">
        <f t="shared" si="8"/>
        <v>6.9215980706991305</v>
      </c>
    </row>
    <row r="173" spans="1:8" x14ac:dyDescent="0.3">
      <c r="A173" t="s">
        <v>191</v>
      </c>
      <c r="B173">
        <v>14.64</v>
      </c>
      <c r="C173">
        <v>248.16</v>
      </c>
      <c r="D173">
        <v>6.24</v>
      </c>
      <c r="E173">
        <v>23.28</v>
      </c>
      <c r="F173">
        <f t="shared" si="6"/>
        <v>6.3466437845903947</v>
      </c>
      <c r="G173">
        <f t="shared" si="7"/>
        <v>-8.2933562154096059</v>
      </c>
      <c r="H173">
        <f t="shared" si="8"/>
        <v>68.779757315673137</v>
      </c>
    </row>
    <row r="174" spans="1:8" x14ac:dyDescent="0.3">
      <c r="A174" t="s">
        <v>192</v>
      </c>
      <c r="B174">
        <v>20.52</v>
      </c>
      <c r="C174">
        <v>258.48</v>
      </c>
      <c r="D174">
        <v>28.32</v>
      </c>
      <c r="E174">
        <v>69.12</v>
      </c>
      <c r="F174">
        <f t="shared" si="6"/>
        <v>8.6741259450018404</v>
      </c>
      <c r="G174">
        <f t="shared" si="7"/>
        <v>-11.845874054998159</v>
      </c>
      <c r="H174">
        <f t="shared" si="8"/>
        <v>140.32473212687853</v>
      </c>
    </row>
    <row r="175" spans="1:8" x14ac:dyDescent="0.3">
      <c r="A175" t="s">
        <v>193</v>
      </c>
      <c r="B175">
        <v>18</v>
      </c>
      <c r="C175">
        <v>341.16</v>
      </c>
      <c r="D175">
        <v>12.72</v>
      </c>
      <c r="E175">
        <v>7.68</v>
      </c>
      <c r="F175">
        <f t="shared" si="6"/>
        <v>7.8874384718093893</v>
      </c>
      <c r="G175">
        <f t="shared" si="7"/>
        <v>-10.112561528190611</v>
      </c>
      <c r="H175">
        <f t="shared" si="8"/>
        <v>102.26390066144081</v>
      </c>
    </row>
    <row r="176" spans="1:8" x14ac:dyDescent="0.3">
      <c r="A176" t="s">
        <v>194</v>
      </c>
      <c r="B176">
        <v>10.08</v>
      </c>
      <c r="C176">
        <v>60</v>
      </c>
      <c r="D176">
        <v>13.92</v>
      </c>
      <c r="E176">
        <v>22.08</v>
      </c>
      <c r="F176">
        <f t="shared" si="6"/>
        <v>4.7537866100018151</v>
      </c>
      <c r="G176">
        <f t="shared" si="7"/>
        <v>-5.3262133899981849</v>
      </c>
      <c r="H176">
        <f t="shared" si="8"/>
        <v>28.368549075795958</v>
      </c>
    </row>
    <row r="177" spans="1:8" x14ac:dyDescent="0.3">
      <c r="A177" t="s">
        <v>195</v>
      </c>
      <c r="B177">
        <v>17.399999999999999</v>
      </c>
      <c r="C177">
        <v>197.4</v>
      </c>
      <c r="D177">
        <v>25.08</v>
      </c>
      <c r="E177">
        <v>56.88</v>
      </c>
      <c r="F177">
        <f t="shared" si="6"/>
        <v>7.5849358613045528</v>
      </c>
      <c r="G177">
        <f t="shared" si="7"/>
        <v>-9.8150641386954458</v>
      </c>
      <c r="H177">
        <f t="shared" si="8"/>
        <v>96.335484046705375</v>
      </c>
    </row>
    <row r="178" spans="1:8" x14ac:dyDescent="0.3">
      <c r="A178" t="s">
        <v>196</v>
      </c>
      <c r="B178">
        <v>9.1199999999999992</v>
      </c>
      <c r="C178">
        <v>23.52</v>
      </c>
      <c r="D178">
        <v>24.12</v>
      </c>
      <c r="E178">
        <v>20.399999999999999</v>
      </c>
      <c r="F178">
        <f t="shared" si="6"/>
        <v>5.1729389423033876</v>
      </c>
      <c r="G178">
        <f t="shared" si="7"/>
        <v>-3.9470610576966116</v>
      </c>
      <c r="H178">
        <f t="shared" si="8"/>
        <v>15.579290993185095</v>
      </c>
    </row>
    <row r="179" spans="1:8" x14ac:dyDescent="0.3">
      <c r="A179" t="s">
        <v>197</v>
      </c>
      <c r="B179">
        <v>14.04</v>
      </c>
      <c r="C179">
        <v>202.08</v>
      </c>
      <c r="D179">
        <v>8.52</v>
      </c>
      <c r="E179">
        <v>15.36</v>
      </c>
      <c r="F179">
        <f t="shared" si="6"/>
        <v>5.9349933582770777</v>
      </c>
      <c r="G179">
        <f t="shared" si="7"/>
        <v>-8.1050066417229214</v>
      </c>
      <c r="H179">
        <f t="shared" si="8"/>
        <v>65.691132662372667</v>
      </c>
    </row>
    <row r="180" spans="1:8" x14ac:dyDescent="0.3">
      <c r="A180" t="s">
        <v>198</v>
      </c>
      <c r="B180">
        <v>13.8</v>
      </c>
      <c r="C180">
        <v>266.88</v>
      </c>
      <c r="D180">
        <v>4.08</v>
      </c>
      <c r="E180">
        <v>15.72</v>
      </c>
      <c r="F180">
        <f t="shared" si="6"/>
        <v>6.3309850776378909</v>
      </c>
      <c r="G180">
        <f t="shared" si="7"/>
        <v>-7.4690149223621098</v>
      </c>
      <c r="H180">
        <f t="shared" si="8"/>
        <v>55.786183910467877</v>
      </c>
    </row>
    <row r="181" spans="1:8" x14ac:dyDescent="0.3">
      <c r="A181" t="s">
        <v>199</v>
      </c>
      <c r="B181">
        <v>32.4</v>
      </c>
      <c r="C181">
        <v>332.28</v>
      </c>
      <c r="D181">
        <v>58.68</v>
      </c>
      <c r="E181">
        <v>50.16</v>
      </c>
      <c r="F181">
        <f t="shared" si="6"/>
        <v>11.986880478545139</v>
      </c>
      <c r="G181">
        <f t="shared" si="7"/>
        <v>-20.41311952145486</v>
      </c>
      <c r="H181">
        <f t="shared" si="8"/>
        <v>416.6954485972015</v>
      </c>
    </row>
    <row r="182" spans="1:8" x14ac:dyDescent="0.3">
      <c r="A182" t="s">
        <v>200</v>
      </c>
      <c r="B182">
        <v>24.24</v>
      </c>
      <c r="C182">
        <v>298.08</v>
      </c>
      <c r="D182">
        <v>36.24</v>
      </c>
      <c r="E182">
        <v>24.36</v>
      </c>
      <c r="F182">
        <f t="shared" si="6"/>
        <v>9.49079157830068</v>
      </c>
      <c r="G182">
        <f t="shared" si="7"/>
        <v>-14.749208421699318</v>
      </c>
      <c r="H182">
        <f t="shared" si="8"/>
        <v>217.53914906672611</v>
      </c>
    </row>
    <row r="183" spans="1:8" x14ac:dyDescent="0.3">
      <c r="A183" t="s">
        <v>201</v>
      </c>
      <c r="B183">
        <v>14.04</v>
      </c>
      <c r="C183">
        <v>204.24</v>
      </c>
      <c r="D183">
        <v>9.36</v>
      </c>
      <c r="E183">
        <v>42.24</v>
      </c>
      <c r="F183">
        <f t="shared" si="6"/>
        <v>6.2271494172525559</v>
      </c>
      <c r="G183">
        <f t="shared" si="7"/>
        <v>-7.8128505827474433</v>
      </c>
      <c r="H183">
        <f t="shared" si="8"/>
        <v>61.040634228337062</v>
      </c>
    </row>
    <row r="184" spans="1:8" x14ac:dyDescent="0.3">
      <c r="A184" t="s">
        <v>202</v>
      </c>
      <c r="B184">
        <v>14.16</v>
      </c>
      <c r="C184">
        <v>332.04</v>
      </c>
      <c r="D184">
        <v>2.76</v>
      </c>
      <c r="E184">
        <v>28.44</v>
      </c>
      <c r="F184">
        <f t="shared" si="6"/>
        <v>7.0855509921000035</v>
      </c>
      <c r="G184">
        <f t="shared" si="7"/>
        <v>-7.0744490078999966</v>
      </c>
      <c r="H184">
        <f t="shared" si="8"/>
        <v>50.047828765377247</v>
      </c>
    </row>
    <row r="185" spans="1:8" x14ac:dyDescent="0.3">
      <c r="A185" t="s">
        <v>203</v>
      </c>
      <c r="B185">
        <v>15.12</v>
      </c>
      <c r="C185">
        <v>198.72</v>
      </c>
      <c r="D185">
        <v>12</v>
      </c>
      <c r="E185">
        <v>21.12</v>
      </c>
      <c r="F185">
        <f t="shared" si="6"/>
        <v>6.2319463865168894</v>
      </c>
      <c r="G185">
        <f t="shared" si="7"/>
        <v>-8.888053613483109</v>
      </c>
      <c r="H185">
        <f t="shared" si="8"/>
        <v>78.997497036150151</v>
      </c>
    </row>
    <row r="186" spans="1:8" x14ac:dyDescent="0.3">
      <c r="A186" t="s">
        <v>204</v>
      </c>
      <c r="B186">
        <v>12.6</v>
      </c>
      <c r="C186">
        <v>187.92</v>
      </c>
      <c r="D186">
        <v>3.12</v>
      </c>
      <c r="E186">
        <v>9.9600000000000009</v>
      </c>
      <c r="F186">
        <f t="shared" si="6"/>
        <v>5.2697592368601214</v>
      </c>
      <c r="G186">
        <f t="shared" si="7"/>
        <v>-7.3302407631398783</v>
      </c>
      <c r="H186">
        <f t="shared" si="8"/>
        <v>53.732429645597506</v>
      </c>
    </row>
    <row r="187" spans="1:8" x14ac:dyDescent="0.3">
      <c r="A187" t="s">
        <v>205</v>
      </c>
      <c r="B187">
        <v>14.64</v>
      </c>
      <c r="C187">
        <v>262.2</v>
      </c>
      <c r="D187">
        <v>6.48</v>
      </c>
      <c r="E187">
        <v>32.880000000000003</v>
      </c>
      <c r="F187">
        <f t="shared" si="6"/>
        <v>6.6035207635041626</v>
      </c>
      <c r="G187">
        <f t="shared" si="7"/>
        <v>-8.036479236495838</v>
      </c>
      <c r="H187">
        <f t="shared" si="8"/>
        <v>64.584998518628723</v>
      </c>
    </row>
    <row r="188" spans="1:8" x14ac:dyDescent="0.3">
      <c r="A188" t="s">
        <v>206</v>
      </c>
      <c r="B188">
        <v>10.44</v>
      </c>
      <c r="C188">
        <v>67.44</v>
      </c>
      <c r="D188">
        <v>6.84</v>
      </c>
      <c r="E188">
        <v>35.64</v>
      </c>
      <c r="F188">
        <f t="shared" si="6"/>
        <v>4.340468149285801</v>
      </c>
      <c r="G188">
        <f t="shared" si="7"/>
        <v>-6.0995318507141985</v>
      </c>
      <c r="H188">
        <f t="shared" si="8"/>
        <v>37.204288797876977</v>
      </c>
    </row>
    <row r="189" spans="1:8" x14ac:dyDescent="0.3">
      <c r="A189" t="s">
        <v>207</v>
      </c>
      <c r="B189">
        <v>31.44</v>
      </c>
      <c r="C189">
        <v>345.12</v>
      </c>
      <c r="D189">
        <v>51.6</v>
      </c>
      <c r="E189">
        <v>86.16</v>
      </c>
      <c r="F189">
        <f t="shared" si="6"/>
        <v>11.80073839381388</v>
      </c>
      <c r="G189">
        <f t="shared" si="7"/>
        <v>-19.639261606186121</v>
      </c>
      <c r="H189">
        <f t="shared" si="8"/>
        <v>385.70059643621624</v>
      </c>
    </row>
    <row r="190" spans="1:8" x14ac:dyDescent="0.3">
      <c r="A190" t="s">
        <v>208</v>
      </c>
      <c r="B190">
        <v>21.12</v>
      </c>
      <c r="C190">
        <v>304.56</v>
      </c>
      <c r="D190">
        <v>25.56</v>
      </c>
      <c r="E190">
        <v>36</v>
      </c>
      <c r="F190">
        <f t="shared" si="6"/>
        <v>8.746925944394027</v>
      </c>
      <c r="G190">
        <f t="shared" si="7"/>
        <v>-12.373074055605974</v>
      </c>
      <c r="H190">
        <f t="shared" si="8"/>
        <v>153.09296158550967</v>
      </c>
    </row>
    <row r="191" spans="1:8" x14ac:dyDescent="0.3">
      <c r="A191" t="s">
        <v>209</v>
      </c>
      <c r="B191">
        <v>27.12</v>
      </c>
      <c r="C191">
        <v>246</v>
      </c>
      <c r="D191">
        <v>54.12</v>
      </c>
      <c r="E191">
        <v>23.52</v>
      </c>
      <c r="F191">
        <f t="shared" si="6"/>
        <v>10.38180929937834</v>
      </c>
      <c r="G191">
        <f t="shared" si="7"/>
        <v>-16.738190700621661</v>
      </c>
      <c r="H191">
        <f t="shared" si="8"/>
        <v>280.16702793037746</v>
      </c>
    </row>
    <row r="192" spans="1:8" x14ac:dyDescent="0.3">
      <c r="A192" t="s">
        <v>210</v>
      </c>
      <c r="B192">
        <v>12.36</v>
      </c>
      <c r="C192">
        <v>167.4</v>
      </c>
      <c r="D192">
        <v>2.52</v>
      </c>
      <c r="E192">
        <v>31.92</v>
      </c>
      <c r="F192">
        <f t="shared" si="6"/>
        <v>5.1346697712004765</v>
      </c>
      <c r="G192">
        <f t="shared" si="7"/>
        <v>-7.2253302287995229</v>
      </c>
      <c r="H192">
        <f t="shared" si="8"/>
        <v>52.205396915204169</v>
      </c>
    </row>
    <row r="193" spans="1:8" x14ac:dyDescent="0.3">
      <c r="A193" t="s">
        <v>211</v>
      </c>
      <c r="B193">
        <v>20.76</v>
      </c>
      <c r="C193">
        <v>229.32</v>
      </c>
      <c r="D193">
        <v>34.44</v>
      </c>
      <c r="E193">
        <v>21.84</v>
      </c>
      <c r="F193">
        <f t="shared" si="6"/>
        <v>8.5030620066158704</v>
      </c>
      <c r="G193">
        <f t="shared" si="7"/>
        <v>-12.256937993384131</v>
      </c>
      <c r="H193">
        <f t="shared" si="8"/>
        <v>150.23252897366342</v>
      </c>
    </row>
    <row r="194" spans="1:8" x14ac:dyDescent="0.3">
      <c r="A194" t="s">
        <v>212</v>
      </c>
      <c r="B194">
        <v>19.079999999999998</v>
      </c>
      <c r="C194">
        <v>343.2</v>
      </c>
      <c r="D194">
        <v>16.68</v>
      </c>
      <c r="E194">
        <v>4.4400000000000004</v>
      </c>
      <c r="F194">
        <f t="shared" si="6"/>
        <v>8.2238470719905585</v>
      </c>
      <c r="G194">
        <f t="shared" si="7"/>
        <v>-10.85615292800944</v>
      </c>
      <c r="H194">
        <f t="shared" si="8"/>
        <v>117.85605639632793</v>
      </c>
    </row>
    <row r="195" spans="1:8" x14ac:dyDescent="0.3">
      <c r="A195" t="s">
        <v>213</v>
      </c>
      <c r="B195">
        <v>8.0399999999999991</v>
      </c>
      <c r="C195">
        <v>22.44</v>
      </c>
      <c r="D195">
        <v>14.52</v>
      </c>
      <c r="E195">
        <v>28.08</v>
      </c>
      <c r="F195">
        <f t="shared" si="6"/>
        <v>4.4020539740765132</v>
      </c>
      <c r="G195">
        <f t="shared" si="7"/>
        <v>-3.6379460259234859</v>
      </c>
      <c r="H195">
        <f t="shared" si="8"/>
        <v>13.234651287532484</v>
      </c>
    </row>
    <row r="196" spans="1:8" x14ac:dyDescent="0.3">
      <c r="A196" t="s">
        <v>214</v>
      </c>
      <c r="B196">
        <v>12.96</v>
      </c>
      <c r="C196">
        <v>47.4</v>
      </c>
      <c r="D196">
        <v>49.32</v>
      </c>
      <c r="E196">
        <v>6.96</v>
      </c>
      <c r="F196">
        <f t="shared" si="6"/>
        <v>7.495334226426313</v>
      </c>
      <c r="G196">
        <f t="shared" si="7"/>
        <v>-5.4646657735736879</v>
      </c>
      <c r="H196">
        <f t="shared" si="8"/>
        <v>29.862572016867713</v>
      </c>
    </row>
    <row r="197" spans="1:8" x14ac:dyDescent="0.3">
      <c r="A197" t="s">
        <v>215</v>
      </c>
      <c r="B197">
        <v>11.88</v>
      </c>
      <c r="C197">
        <v>90.6</v>
      </c>
      <c r="D197">
        <v>12.96</v>
      </c>
      <c r="E197">
        <v>7.2</v>
      </c>
      <c r="F197">
        <f t="shared" si="6"/>
        <v>4.9278058187399303</v>
      </c>
      <c r="G197">
        <f t="shared" si="7"/>
        <v>-6.9521941812600705</v>
      </c>
      <c r="H197">
        <f t="shared" si="8"/>
        <v>48.33300393394638</v>
      </c>
    </row>
    <row r="198" spans="1:8" x14ac:dyDescent="0.3">
      <c r="A198" t="s">
        <v>216</v>
      </c>
      <c r="B198">
        <v>7.08</v>
      </c>
      <c r="C198">
        <v>20.64</v>
      </c>
      <c r="D198">
        <v>4.92</v>
      </c>
      <c r="E198">
        <v>37.92</v>
      </c>
      <c r="F198">
        <f t="shared" si="6"/>
        <v>3.6383083889127268</v>
      </c>
      <c r="G198">
        <f t="shared" si="7"/>
        <v>-3.4416916110872733</v>
      </c>
      <c r="H198">
        <f t="shared" si="8"/>
        <v>11.845241145828512</v>
      </c>
    </row>
    <row r="199" spans="1:8" x14ac:dyDescent="0.3">
      <c r="A199" t="s">
        <v>217</v>
      </c>
      <c r="B199">
        <v>23.52</v>
      </c>
      <c r="C199">
        <v>200.16</v>
      </c>
      <c r="D199">
        <v>50.4</v>
      </c>
      <c r="E199">
        <v>4.32</v>
      </c>
      <c r="F199">
        <f t="shared" ref="F199:F205" si="9">$B$2+SUMPRODUCT($C$2:$E$2,C199:E199)</f>
        <v>9.3824032853231571</v>
      </c>
      <c r="G199">
        <f t="shared" ref="G199:G205" si="10">F199-B199</f>
        <v>-14.137596714676842</v>
      </c>
      <c r="H199">
        <f t="shared" ref="H199:H205" si="11">G199^2</f>
        <v>199.87164086684146</v>
      </c>
    </row>
    <row r="200" spans="1:8" x14ac:dyDescent="0.3">
      <c r="A200" t="s">
        <v>218</v>
      </c>
      <c r="B200">
        <v>20.76</v>
      </c>
      <c r="C200">
        <v>179.64</v>
      </c>
      <c r="D200">
        <v>42.72</v>
      </c>
      <c r="E200">
        <v>7.2</v>
      </c>
      <c r="F200">
        <f t="shared" si="9"/>
        <v>8.5084815273404253</v>
      </c>
      <c r="G200">
        <f t="shared" si="10"/>
        <v>-12.251518472659576</v>
      </c>
      <c r="H200">
        <f t="shared" si="11"/>
        <v>150.09970488591884</v>
      </c>
    </row>
    <row r="201" spans="1:8" x14ac:dyDescent="0.3">
      <c r="A201" t="s">
        <v>219</v>
      </c>
      <c r="B201">
        <v>9.1199999999999992</v>
      </c>
      <c r="C201">
        <v>45.84</v>
      </c>
      <c r="D201">
        <v>4.4400000000000004</v>
      </c>
      <c r="E201">
        <v>16.559999999999999</v>
      </c>
      <c r="F201">
        <f t="shared" si="9"/>
        <v>3.7417940537667098</v>
      </c>
      <c r="G201">
        <f t="shared" si="10"/>
        <v>-5.3782059462332894</v>
      </c>
      <c r="H201">
        <f t="shared" si="11"/>
        <v>28.925099200099112</v>
      </c>
    </row>
    <row r="202" spans="1:8" x14ac:dyDescent="0.3">
      <c r="A202" t="s">
        <v>220</v>
      </c>
      <c r="B202">
        <v>11.64</v>
      </c>
      <c r="C202">
        <v>113.04</v>
      </c>
      <c r="D202">
        <v>5.88</v>
      </c>
      <c r="E202">
        <v>9.7200000000000006</v>
      </c>
      <c r="F202">
        <f t="shared" si="9"/>
        <v>4.6124714995566629</v>
      </c>
      <c r="G202">
        <f t="shared" si="10"/>
        <v>-7.0275285004433377</v>
      </c>
      <c r="H202">
        <f t="shared" si="11"/>
        <v>49.386156824543384</v>
      </c>
    </row>
    <row r="203" spans="1:8" x14ac:dyDescent="0.3">
      <c r="A203" t="s">
        <v>221</v>
      </c>
      <c r="B203">
        <v>15.36</v>
      </c>
      <c r="C203">
        <v>212.4</v>
      </c>
      <c r="D203">
        <v>11.16</v>
      </c>
      <c r="E203">
        <v>7.68</v>
      </c>
      <c r="F203">
        <f t="shared" si="9"/>
        <v>6.2256016904349138</v>
      </c>
      <c r="G203">
        <f t="shared" si="10"/>
        <v>-9.1343983095650856</v>
      </c>
      <c r="H203">
        <f t="shared" si="11"/>
        <v>83.4372324777855</v>
      </c>
    </row>
    <row r="204" spans="1:8" x14ac:dyDescent="0.3">
      <c r="A204" t="s">
        <v>222</v>
      </c>
      <c r="B204">
        <v>30.6</v>
      </c>
      <c r="C204">
        <v>340.32</v>
      </c>
      <c r="D204">
        <v>50.4</v>
      </c>
      <c r="E204">
        <v>79.44</v>
      </c>
      <c r="F204">
        <f t="shared" si="9"/>
        <v>11.593164945096511</v>
      </c>
      <c r="G204">
        <f t="shared" si="10"/>
        <v>-19.00683505490349</v>
      </c>
      <c r="H204">
        <f t="shared" si="11"/>
        <v>361.25977880430816</v>
      </c>
    </row>
    <row r="205" spans="1:8" x14ac:dyDescent="0.3">
      <c r="A205" t="s">
        <v>223</v>
      </c>
      <c r="B205">
        <v>16.079999999999998</v>
      </c>
      <c r="C205">
        <v>278.52</v>
      </c>
      <c r="D205">
        <v>10.32</v>
      </c>
      <c r="E205">
        <v>10.44</v>
      </c>
      <c r="F205">
        <f t="shared" si="9"/>
        <v>6.9599043782139907</v>
      </c>
      <c r="G205">
        <f t="shared" si="10"/>
        <v>-9.1200956217860067</v>
      </c>
      <c r="H205">
        <f t="shared" si="11"/>
        <v>83.176144150520287</v>
      </c>
    </row>
  </sheetData>
  <scenarios current="0">
    <scenario name="Test1" count="3" user="Kunaal Naik" comment="Created by Kunaal Naik on 7/31/2022">
      <inputCells r="B2" val="-18.1459130298693"/>
      <inputCells r="C2" val="-2.82243860628503"/>
      <inputCells r="D2" val="0.535341917967134"/>
    </scenario>
  </scenarios>
  <phoneticPr fontId="1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8FD5-1D77-4CBE-8592-5FFAC21E2B09}">
  <dimension ref="A1:P29"/>
  <sheetViews>
    <sheetView workbookViewId="0">
      <selection activeCell="H28" sqref="H28"/>
    </sheetView>
  </sheetViews>
  <sheetFormatPr defaultRowHeight="16.5" x14ac:dyDescent="0.3"/>
  <cols>
    <col min="1" max="1" width="10.88671875" bestFit="1" customWidth="1"/>
    <col min="2" max="2" width="9.44140625" bestFit="1" customWidth="1"/>
    <col min="6" max="6" width="18.88671875" bestFit="1" customWidth="1"/>
    <col min="8" max="8" width="19.21875" bestFit="1" customWidth="1"/>
    <col min="9" max="9" width="10.6640625" customWidth="1"/>
    <col min="10" max="10" width="9.109375" customWidth="1"/>
    <col min="16" max="16" width="18.88671875" bestFit="1" customWidth="1"/>
  </cols>
  <sheetData>
    <row r="1" spans="1:16" ht="18" thickTop="1" thickBot="1" x14ac:dyDescent="0.35">
      <c r="A1" s="14" t="s">
        <v>16</v>
      </c>
      <c r="B1" s="4" t="s">
        <v>0</v>
      </c>
      <c r="C1" s="4" t="s">
        <v>1</v>
      </c>
      <c r="D1" s="4" t="s">
        <v>2</v>
      </c>
      <c r="E1" s="4" t="s">
        <v>9</v>
      </c>
      <c r="F1" s="4" t="s">
        <v>229</v>
      </c>
      <c r="H1" s="1" t="s">
        <v>17</v>
      </c>
      <c r="I1" s="19" t="str" cm="1">
        <f t="array" ref="I1">INDEX(A2:A29,L1)</f>
        <v>C6</v>
      </c>
      <c r="L1" s="20">
        <v>6</v>
      </c>
      <c r="P1" s="7"/>
    </row>
    <row r="2" spans="1:16" ht="17.25" thickTop="1" x14ac:dyDescent="0.3">
      <c r="A2" s="11" t="s">
        <v>19</v>
      </c>
      <c r="B2" s="12">
        <v>0</v>
      </c>
      <c r="C2" s="30">
        <v>0</v>
      </c>
      <c r="D2" s="30">
        <v>0</v>
      </c>
      <c r="E2" s="30">
        <v>0</v>
      </c>
      <c r="F2" s="13">
        <v>64430.280000000021</v>
      </c>
      <c r="H2" s="1" t="s">
        <v>18</v>
      </c>
      <c r="I2" s="27">
        <f>Regression_LSq!H1</f>
        <v>21645.445171143558</v>
      </c>
    </row>
    <row r="3" spans="1:16" x14ac:dyDescent="0.3">
      <c r="A3" t="s">
        <v>20</v>
      </c>
      <c r="B3" s="3">
        <v>2.2874307341604299</v>
      </c>
      <c r="C3" s="29">
        <v>-5.0631509498566098E-3</v>
      </c>
      <c r="D3" s="29">
        <v>3.2898860726491501E-2</v>
      </c>
      <c r="E3" s="29">
        <v>1.1416515966197201E-2</v>
      </c>
      <c r="F3" s="3">
        <v>47699.983655704105</v>
      </c>
    </row>
    <row r="4" spans="1:16" x14ac:dyDescent="0.3">
      <c r="A4" t="s">
        <v>21</v>
      </c>
      <c r="B4" s="3">
        <v>2.3907052930711701</v>
      </c>
      <c r="C4" s="29">
        <v>-8.2752395371370896E-4</v>
      </c>
      <c r="D4" s="29">
        <v>4.5868179132145498E-2</v>
      </c>
      <c r="E4" s="29">
        <v>1.0378650878361101E-2</v>
      </c>
      <c r="F4" s="3">
        <v>40209.30340403934</v>
      </c>
    </row>
    <row r="5" spans="1:16" x14ac:dyDescent="0.3">
      <c r="A5" t="s">
        <v>22</v>
      </c>
      <c r="B5" s="3">
        <v>2.4939798519819001</v>
      </c>
      <c r="C5" s="29">
        <v>3.4081030424290902E-3</v>
      </c>
      <c r="D5" s="29">
        <v>5.8837497537800501E-2</v>
      </c>
      <c r="E5" s="29">
        <v>9.3407857905249796E-3</v>
      </c>
      <c r="F5" s="3">
        <v>33369.986906057638</v>
      </c>
    </row>
    <row r="6" spans="1:16" x14ac:dyDescent="0.3">
      <c r="A6" t="s">
        <v>23</v>
      </c>
      <c r="B6" s="3">
        <v>2.5972544108926399</v>
      </c>
      <c r="C6" s="29">
        <v>7.6437300385718901E-3</v>
      </c>
      <c r="D6" s="29">
        <v>7.1806815943454505E-2</v>
      </c>
      <c r="E6" s="29">
        <v>8.3029207026888707E-3</v>
      </c>
      <c r="F6" s="3">
        <v>27182.034161759137</v>
      </c>
    </row>
    <row r="7" spans="1:16" x14ac:dyDescent="0.3">
      <c r="A7" t="s">
        <v>24</v>
      </c>
      <c r="B7" s="3">
        <v>2.7005289698033801</v>
      </c>
      <c r="C7" s="29">
        <v>1.18793570347147E-2</v>
      </c>
      <c r="D7" s="29">
        <v>8.4776134349109494E-2</v>
      </c>
      <c r="E7" s="29">
        <v>7.2650556148527601E-3</v>
      </c>
      <c r="F7" s="3">
        <v>21645.445171143558</v>
      </c>
    </row>
    <row r="8" spans="1:16" x14ac:dyDescent="0.3">
      <c r="A8" t="s">
        <v>25</v>
      </c>
      <c r="B8" s="3">
        <v>2.8038035287141101</v>
      </c>
      <c r="C8" s="29">
        <v>1.6114984030857499E-2</v>
      </c>
      <c r="D8" s="29">
        <v>9.7745452754763901E-2</v>
      </c>
      <c r="E8" s="29">
        <v>6.2271905270166496E-3</v>
      </c>
      <c r="F8" s="3">
        <v>16760.2199342112</v>
      </c>
    </row>
    <row r="9" spans="1:16" x14ac:dyDescent="0.3">
      <c r="A9" t="s">
        <v>26</v>
      </c>
      <c r="B9" s="3">
        <v>2.9070780876248499</v>
      </c>
      <c r="C9" s="29">
        <v>2.0350611027000299E-2</v>
      </c>
      <c r="D9" s="29">
        <v>0.110714771160418</v>
      </c>
      <c r="E9" s="29">
        <v>5.1893254391805399E-3</v>
      </c>
      <c r="F9" s="3">
        <v>12526.358450961898</v>
      </c>
    </row>
    <row r="10" spans="1:16" x14ac:dyDescent="0.3">
      <c r="A10" t="s">
        <v>27</v>
      </c>
      <c r="B10" s="3">
        <v>3.0103526465355901</v>
      </c>
      <c r="C10" s="29">
        <v>2.4586238023143098E-2</v>
      </c>
      <c r="D10" s="29">
        <v>0.123684089566073</v>
      </c>
      <c r="E10" s="29">
        <v>4.1514603513444302E-3</v>
      </c>
      <c r="F10" s="3">
        <v>8943.8607213956038</v>
      </c>
    </row>
    <row r="11" spans="1:16" x14ac:dyDescent="0.3">
      <c r="A11" t="s">
        <v>28</v>
      </c>
      <c r="B11" s="3">
        <v>3.1136272054463201</v>
      </c>
      <c r="C11" s="29">
        <v>2.8821865019285901E-2</v>
      </c>
      <c r="D11" s="29">
        <v>0.13665340797172701</v>
      </c>
      <c r="E11" s="29">
        <v>3.11359526350833E-3</v>
      </c>
      <c r="F11" s="3">
        <v>6012.7267455124784</v>
      </c>
    </row>
    <row r="12" spans="1:16" x14ac:dyDescent="0.3">
      <c r="A12" t="s">
        <v>29</v>
      </c>
      <c r="B12" s="3">
        <v>3.2169017643570599</v>
      </c>
      <c r="C12" s="29">
        <v>3.3057492015428798E-2</v>
      </c>
      <c r="D12" s="29">
        <v>0.149622726377382</v>
      </c>
      <c r="E12" s="29">
        <v>2.0757301756722198E-3</v>
      </c>
      <c r="F12" s="3">
        <v>3732.9565233123217</v>
      </c>
    </row>
    <row r="13" spans="1:16" x14ac:dyDescent="0.3">
      <c r="A13" t="s">
        <v>30</v>
      </c>
      <c r="B13" s="29">
        <v>3.3201763232677899</v>
      </c>
      <c r="C13" s="29">
        <v>3.7293119011571597E-2</v>
      </c>
      <c r="D13" s="29">
        <v>0.16259204478303599</v>
      </c>
      <c r="E13" s="29">
        <v>1.0378650878361099E-3</v>
      </c>
      <c r="F13" s="3">
        <v>2104.5500547953466</v>
      </c>
    </row>
    <row r="14" spans="1:16" x14ac:dyDescent="0.3">
      <c r="A14" t="s">
        <v>31</v>
      </c>
      <c r="B14" s="29">
        <v>3.4234508821785301</v>
      </c>
      <c r="C14" s="29">
        <v>4.1528746007714397E-2</v>
      </c>
      <c r="D14" s="29">
        <v>0.17556136318869101</v>
      </c>
      <c r="E14" s="29">
        <v>0</v>
      </c>
      <c r="F14" s="3">
        <v>1127.5073399614062</v>
      </c>
    </row>
    <row r="15" spans="1:16" x14ac:dyDescent="0.3">
      <c r="A15" s="9" t="s">
        <v>32</v>
      </c>
      <c r="B15" s="28">
        <v>3.5267254410892641</v>
      </c>
      <c r="C15" s="28">
        <v>4.5764373003857189E-2</v>
      </c>
      <c r="D15" s="28">
        <v>0.1885306815943455</v>
      </c>
      <c r="E15" s="28">
        <v>-1.0378650878361084E-3</v>
      </c>
      <c r="F15" s="10">
        <v>801.82837881056309</v>
      </c>
    </row>
    <row r="16" spans="1:16" x14ac:dyDescent="0.3">
      <c r="A16" t="s">
        <v>33</v>
      </c>
      <c r="B16" s="29">
        <v>3.63</v>
      </c>
      <c r="C16" s="29">
        <v>0.05</v>
      </c>
      <c r="D16" s="29">
        <v>0.20150000000000001</v>
      </c>
      <c r="E16" s="29">
        <v>-2.0378650878361102E-3</v>
      </c>
      <c r="F16" s="3">
        <v>1128.1973574014473</v>
      </c>
    </row>
    <row r="17" spans="1:6" x14ac:dyDescent="0.3">
      <c r="A17" t="s">
        <v>34</v>
      </c>
      <c r="B17" s="29">
        <v>3.7332745589107401</v>
      </c>
      <c r="C17" s="29">
        <v>5.4235626996142802E-2</v>
      </c>
      <c r="D17" s="29">
        <v>0.214469318405655</v>
      </c>
      <c r="E17" s="29">
        <v>-3.0378650878361102E-3</v>
      </c>
      <c r="F17" s="3">
        <v>2107.2984506990883</v>
      </c>
    </row>
    <row r="18" spans="1:6" x14ac:dyDescent="0.3">
      <c r="A18" t="s">
        <v>35</v>
      </c>
      <c r="B18" s="3">
        <v>3.8365491178214701</v>
      </c>
      <c r="C18" s="29">
        <v>5.8471253992285602E-2</v>
      </c>
      <c r="D18" s="29">
        <v>0.22743863681130899</v>
      </c>
      <c r="E18" s="29">
        <v>-4.0378650878361202E-3</v>
      </c>
      <c r="F18" s="3">
        <v>3739.1316587034235</v>
      </c>
    </row>
    <row r="19" spans="1:6" x14ac:dyDescent="0.3">
      <c r="A19" t="s">
        <v>36</v>
      </c>
      <c r="B19" s="3">
        <v>3.9398236767322099</v>
      </c>
      <c r="C19" s="29">
        <v>6.2706880988428498E-2</v>
      </c>
      <c r="D19" s="29">
        <v>0.24040795521696401</v>
      </c>
      <c r="E19" s="29">
        <v>-5.0378650878361202E-3</v>
      </c>
      <c r="F19" s="3">
        <v>6023.6969814145996</v>
      </c>
    </row>
    <row r="20" spans="1:6" x14ac:dyDescent="0.3">
      <c r="A20" t="s">
        <v>37</v>
      </c>
      <c r="B20" s="3">
        <v>4.0430982356429404</v>
      </c>
      <c r="C20" s="29">
        <v>6.6942507984571298E-2</v>
      </c>
      <c r="D20" s="29">
        <v>0.25337727362261803</v>
      </c>
      <c r="E20" s="29">
        <v>-6.0378650878361202E-3</v>
      </c>
      <c r="F20" s="3">
        <v>8960.9944188323971</v>
      </c>
    </row>
    <row r="21" spans="1:6" x14ac:dyDescent="0.3">
      <c r="A21" t="s">
        <v>38</v>
      </c>
      <c r="B21" s="3">
        <v>4.1463727945536801</v>
      </c>
      <c r="C21" s="29">
        <v>7.1178134980714097E-2</v>
      </c>
      <c r="D21" s="29">
        <v>0.26634659202827299</v>
      </c>
      <c r="E21" s="29">
        <v>-7.0378650878361202E-3</v>
      </c>
      <c r="F21" s="3">
        <v>12551.023970957023</v>
      </c>
    </row>
    <row r="22" spans="1:6" x14ac:dyDescent="0.3">
      <c r="A22" t="s">
        <v>39</v>
      </c>
      <c r="B22" s="3">
        <v>4.2496473534644101</v>
      </c>
      <c r="C22" s="29">
        <v>7.5413761976856897E-2</v>
      </c>
      <c r="D22" s="29">
        <v>0.27931591043392701</v>
      </c>
      <c r="E22" s="29">
        <v>-8.0378650878361203E-3</v>
      </c>
      <c r="F22" s="3">
        <v>16793.785637788282</v>
      </c>
    </row>
    <row r="23" spans="1:6" x14ac:dyDescent="0.3">
      <c r="A23" t="s">
        <v>40</v>
      </c>
      <c r="B23" s="3">
        <v>4.3529219123751499</v>
      </c>
      <c r="C23" s="29">
        <v>7.9649388972999696E-2</v>
      </c>
      <c r="D23" s="29">
        <v>0.29228522883958202</v>
      </c>
      <c r="E23" s="29">
        <v>-9.0378650878361194E-3</v>
      </c>
      <c r="F23" s="3">
        <v>21689.279419326413</v>
      </c>
    </row>
    <row r="24" spans="1:6" x14ac:dyDescent="0.3">
      <c r="A24" t="s">
        <v>41</v>
      </c>
      <c r="B24" s="3">
        <v>4.4561964712858897</v>
      </c>
      <c r="C24" s="29">
        <v>8.3885015969142496E-2</v>
      </c>
      <c r="D24" s="29">
        <v>0.30525454724523599</v>
      </c>
      <c r="E24" s="29">
        <v>-1.0037865087836099E-2</v>
      </c>
      <c r="F24" s="3">
        <v>27237.505315571154</v>
      </c>
    </row>
    <row r="25" spans="1:6" x14ac:dyDescent="0.3">
      <c r="A25" t="s">
        <v>42</v>
      </c>
      <c r="B25" s="3">
        <v>4.5594710301966197</v>
      </c>
      <c r="C25" s="29">
        <v>8.8120642965285295E-2</v>
      </c>
      <c r="D25" s="29">
        <v>0.318223865650891</v>
      </c>
      <c r="E25" s="29">
        <v>-1.10378650878361E-2</v>
      </c>
      <c r="F25" s="3">
        <v>33438.463326522724</v>
      </c>
    </row>
    <row r="26" spans="1:6" x14ac:dyDescent="0.3">
      <c r="A26" t="s">
        <v>48</v>
      </c>
      <c r="B26" s="3">
        <v>4.6627455891073497</v>
      </c>
      <c r="C26" s="29">
        <v>9.2356269961428095E-2</v>
      </c>
      <c r="D26" s="29">
        <v>0.33119318405654602</v>
      </c>
      <c r="E26" s="29">
        <v>-1.20378650878361E-2</v>
      </c>
      <c r="F26" s="3">
        <v>40292.153452181054</v>
      </c>
    </row>
    <row r="27" spans="1:6" x14ac:dyDescent="0.3">
      <c r="A27" t="s">
        <v>49</v>
      </c>
      <c r="B27" s="3">
        <v>4.7660201480180797</v>
      </c>
      <c r="C27" s="29">
        <v>9.6591896957570894E-2</v>
      </c>
      <c r="D27" s="29">
        <v>0.34416250246220098</v>
      </c>
      <c r="E27" s="29">
        <v>-1.30378650878361E-2</v>
      </c>
      <c r="F27" s="3">
        <v>47798.575692546096</v>
      </c>
    </row>
    <row r="28" spans="1:6" x14ac:dyDescent="0.3">
      <c r="A28" t="s">
        <v>50</v>
      </c>
      <c r="B28" s="3">
        <v>4.8692947069288097</v>
      </c>
      <c r="C28" s="29">
        <v>0.100827523953714</v>
      </c>
      <c r="D28" s="29">
        <v>0.357131820867856</v>
      </c>
      <c r="E28" s="29">
        <v>-1.40378650878361E-2</v>
      </c>
      <c r="F28" s="3">
        <v>55957.73004761833</v>
      </c>
    </row>
    <row r="29" spans="1:6" x14ac:dyDescent="0.3">
      <c r="A29" t="s">
        <v>51</v>
      </c>
      <c r="B29" s="3">
        <v>4.9725692658395397</v>
      </c>
      <c r="C29" s="29">
        <v>0.10506315094985599</v>
      </c>
      <c r="D29" s="29">
        <v>0.37010113927351102</v>
      </c>
      <c r="E29" s="29">
        <v>-1.50378650878361E-2</v>
      </c>
      <c r="F29" s="3">
        <v>64769.616517395742</v>
      </c>
    </row>
  </sheetData>
  <phoneticPr fontId="11" type="noConversion"/>
  <conditionalFormatting sqref="F2:F29">
    <cfRule type="cellIs" dxfId="0" priority="1" operator="equal">
      <formula>$I$2</formula>
    </cfRule>
  </conditionalFormatting>
  <dataValidations count="1">
    <dataValidation type="list" allowBlank="1" showInputMessage="1" showErrorMessage="1" sqref="I1" xr:uid="{EE76CF31-7B11-43B1-BBF3-43B6FE03DFB8}">
      <formula1>$A$2:$A$29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209" r:id="rId3" name="Spinner 65">
              <controlPr defaultSize="0" autoPict="0">
                <anchor moveWithCells="1" sizeWithCells="1">
                  <from>
                    <xdr:col>9</xdr:col>
                    <xdr:colOff>419100</xdr:colOff>
                    <xdr:row>0</xdr:row>
                    <xdr:rowOff>0</xdr:rowOff>
                  </from>
                  <to>
                    <xdr:col>10</xdr:col>
                    <xdr:colOff>504825</xdr:colOff>
                    <xdr:row>1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F200-99B5-4F2D-8734-71DECD8A5778}">
  <dimension ref="A1:K201"/>
  <sheetViews>
    <sheetView zoomScale="140" zoomScaleNormal="140" workbookViewId="0">
      <selection activeCell="G12" sqref="G12"/>
    </sheetView>
  </sheetViews>
  <sheetFormatPr defaultRowHeight="16.5" x14ac:dyDescent="0.3"/>
  <cols>
    <col min="1" max="1" width="9.44140625" bestFit="1" customWidth="1"/>
    <col min="2" max="2" width="6" bestFit="1" customWidth="1"/>
    <col min="3" max="3" width="12.5546875" bestFit="1" customWidth="1"/>
    <col min="5" max="5" width="11.6640625" bestFit="1" customWidth="1"/>
    <col min="7" max="7" width="17.44140625" bestFit="1" customWidth="1"/>
    <col min="11" max="11" width="12" bestFit="1" customWidth="1"/>
  </cols>
  <sheetData>
    <row r="1" spans="1:11" x14ac:dyDescent="0.3">
      <c r="A1" s="16" t="str">
        <f>Regression_LSq!A5</f>
        <v>Campaings</v>
      </c>
      <c r="B1" s="14" t="str">
        <f>Regression_LSq!B5</f>
        <v>sales</v>
      </c>
      <c r="C1" s="14" t="str">
        <f>Regression_LSq!F5</f>
        <v>Predicted Sales</v>
      </c>
      <c r="D1" s="14" t="s">
        <v>228</v>
      </c>
      <c r="E1" s="14" t="s">
        <v>5</v>
      </c>
      <c r="F1" s="14" t="s">
        <v>230</v>
      </c>
      <c r="G1" s="14" t="s">
        <v>234</v>
      </c>
      <c r="J1" s="1" t="s">
        <v>231</v>
      </c>
      <c r="K1" s="31"/>
    </row>
    <row r="2" spans="1:11" x14ac:dyDescent="0.3">
      <c r="A2" t="str">
        <f>Regression_LSq!A6</f>
        <v>C1</v>
      </c>
      <c r="B2">
        <f>Regression_LSq!B6</f>
        <v>26.52</v>
      </c>
      <c r="C2">
        <f>Regression_LSq!F6</f>
        <v>10.429392706561783</v>
      </c>
      <c r="G2" s="6"/>
      <c r="J2" s="1" t="s">
        <v>232</v>
      </c>
      <c r="K2" s="31"/>
    </row>
    <row r="3" spans="1:11" x14ac:dyDescent="0.3">
      <c r="A3" t="str">
        <f>Regression_LSq!A7</f>
        <v>C2</v>
      </c>
      <c r="B3">
        <f>Regression_LSq!B7</f>
        <v>12.48</v>
      </c>
      <c r="C3">
        <f>Regression_LSq!F7</f>
        <v>7.7261139412369797</v>
      </c>
      <c r="G3" s="6"/>
      <c r="J3" s="1" t="s">
        <v>233</v>
      </c>
      <c r="K3" s="31"/>
    </row>
    <row r="4" spans="1:11" x14ac:dyDescent="0.3">
      <c r="A4" t="str">
        <f>Regression_LSq!A8</f>
        <v>C3</v>
      </c>
      <c r="B4">
        <f>Regression_LSq!B8</f>
        <v>11.16</v>
      </c>
      <c r="C4">
        <f>Regression_LSq!F8</f>
        <v>8.2193504038799983</v>
      </c>
      <c r="G4" s="6"/>
      <c r="J4" s="1" t="s">
        <v>235</v>
      </c>
      <c r="K4" s="32"/>
    </row>
    <row r="5" spans="1:11" x14ac:dyDescent="0.3">
      <c r="A5" t="str">
        <f>Regression_LSq!A9</f>
        <v>C4</v>
      </c>
      <c r="B5">
        <f>Regression_LSq!B9</f>
        <v>22.2</v>
      </c>
      <c r="C5">
        <f>Regression_LSq!F9</f>
        <v>9.5717082012190424</v>
      </c>
      <c r="G5" s="6"/>
    </row>
    <row r="6" spans="1:11" x14ac:dyDescent="0.3">
      <c r="A6" t="str">
        <f>Regression_LSq!A10</f>
        <v>C5</v>
      </c>
      <c r="B6">
        <f>Regression_LSq!B10</f>
        <v>15.48</v>
      </c>
      <c r="C6">
        <f>Regression_LSq!F10</f>
        <v>6.8857080707084215</v>
      </c>
      <c r="G6" s="6"/>
    </row>
    <row r="7" spans="1:11" x14ac:dyDescent="0.3">
      <c r="A7" t="str">
        <f>Regression_LSq!A11</f>
        <v>C6</v>
      </c>
      <c r="B7">
        <f>Regression_LSq!B11</f>
        <v>8.64</v>
      </c>
      <c r="C7">
        <f>Regression_LSq!F11</f>
        <v>8.4530680261882942</v>
      </c>
      <c r="G7" s="6"/>
    </row>
    <row r="8" spans="1:11" x14ac:dyDescent="0.3">
      <c r="A8" t="str">
        <f>Regression_LSq!A12</f>
        <v>C7</v>
      </c>
      <c r="B8">
        <f>Regression_LSq!B12</f>
        <v>14.16</v>
      </c>
      <c r="C8">
        <f>Regression_LSq!F12</f>
        <v>7.0618678215184927</v>
      </c>
      <c r="G8" s="6"/>
    </row>
    <row r="9" spans="1:11" x14ac:dyDescent="0.3">
      <c r="A9" t="str">
        <f>Regression_LSq!A13</f>
        <v>C8</v>
      </c>
      <c r="B9">
        <f>Regression_LSq!B13</f>
        <v>15.84</v>
      </c>
      <c r="C9">
        <f>Regression_LSq!F13</f>
        <v>6.5090716825404344</v>
      </c>
      <c r="G9" s="6"/>
    </row>
    <row r="10" spans="1:11" x14ac:dyDescent="0.3">
      <c r="A10" t="str">
        <f>Regression_LSq!A14</f>
        <v>C9</v>
      </c>
      <c r="B10">
        <f>Regression_LSq!B14</f>
        <v>5.76</v>
      </c>
      <c r="C10">
        <f>Regression_LSq!F14</f>
        <v>3.0454778596992149</v>
      </c>
      <c r="G10" s="6"/>
    </row>
    <row r="11" spans="1:11" x14ac:dyDescent="0.3">
      <c r="A11" t="str">
        <f>Regression_LSq!A15</f>
        <v>C10</v>
      </c>
      <c r="B11">
        <f>Regression_LSq!B15</f>
        <v>12.72</v>
      </c>
      <c r="C11">
        <f>Regression_LSq!F15</f>
        <v>5.9980481664576519</v>
      </c>
      <c r="G11" s="6"/>
    </row>
    <row r="12" spans="1:11" x14ac:dyDescent="0.3">
      <c r="A12" t="str">
        <f>Regression_LSq!A16</f>
        <v>C11</v>
      </c>
      <c r="B12">
        <f>Regression_LSq!B16</f>
        <v>10.32</v>
      </c>
      <c r="C12">
        <f>Regression_LSq!F16</f>
        <v>4.4438186799220762</v>
      </c>
      <c r="G12" s="6"/>
    </row>
    <row r="13" spans="1:11" x14ac:dyDescent="0.3">
      <c r="A13" t="str">
        <f>Regression_LSq!A17</f>
        <v>C12</v>
      </c>
      <c r="B13">
        <f>Regression_LSq!B17</f>
        <v>20.88</v>
      </c>
      <c r="C13">
        <f>Regression_LSq!F17</f>
        <v>8.2375514524329212</v>
      </c>
      <c r="G13" s="6"/>
    </row>
    <row r="14" spans="1:11" x14ac:dyDescent="0.3">
      <c r="A14" t="str">
        <f>Regression_LSq!A18</f>
        <v>C13</v>
      </c>
      <c r="B14">
        <f>Regression_LSq!B18</f>
        <v>11.04</v>
      </c>
      <c r="C14">
        <f>Regression_LSq!F18</f>
        <v>7.1850947835218797</v>
      </c>
      <c r="G14" s="6"/>
    </row>
    <row r="15" spans="1:11" x14ac:dyDescent="0.3">
      <c r="A15" t="str">
        <f>Regression_LSq!A19</f>
        <v>C14</v>
      </c>
      <c r="B15">
        <f>Regression_LSq!B19</f>
        <v>11.64</v>
      </c>
      <c r="C15">
        <f>Regression_LSq!F19</f>
        <v>4.9263421686412059</v>
      </c>
      <c r="G15" s="6"/>
    </row>
    <row r="16" spans="1:11" x14ac:dyDescent="0.3">
      <c r="A16" t="str">
        <f>Regression_LSq!A20</f>
        <v>C15</v>
      </c>
      <c r="B16">
        <f>Regression_LSq!B20</f>
        <v>22.8</v>
      </c>
      <c r="C16">
        <f>Regression_LSq!F20</f>
        <v>9.3580139487884182</v>
      </c>
      <c r="G16" s="6"/>
    </row>
    <row r="17" spans="1:7" x14ac:dyDescent="0.3">
      <c r="A17" t="str">
        <f>Regression_LSq!A21</f>
        <v>C16</v>
      </c>
      <c r="B17">
        <f>Regression_LSq!B21</f>
        <v>26.88</v>
      </c>
      <c r="C17">
        <f>Regression_LSq!F21</f>
        <v>10.799772267877163</v>
      </c>
      <c r="G17" s="6"/>
    </row>
    <row r="18" spans="1:7" x14ac:dyDescent="0.3">
      <c r="A18" t="str">
        <f>Regression_LSq!A22</f>
        <v>C17</v>
      </c>
      <c r="B18">
        <f>Regression_LSq!B22</f>
        <v>15</v>
      </c>
      <c r="C18">
        <f>Regression_LSq!F22</f>
        <v>8.3842608868725144</v>
      </c>
      <c r="G18" s="6"/>
    </row>
    <row r="19" spans="1:7" x14ac:dyDescent="0.3">
      <c r="A19" t="str">
        <f>Regression_LSq!A23</f>
        <v>C18</v>
      </c>
      <c r="B19">
        <f>Regression_LSq!B23</f>
        <v>29.28</v>
      </c>
      <c r="C19">
        <f>Regression_LSq!F23</f>
        <v>11.226980281526064</v>
      </c>
      <c r="G19" s="6"/>
    </row>
    <row r="20" spans="1:7" x14ac:dyDescent="0.3">
      <c r="A20" t="str">
        <f>Regression_LSq!A24</f>
        <v>C19</v>
      </c>
      <c r="B20">
        <f>Regression_LSq!B24</f>
        <v>13.56</v>
      </c>
      <c r="C20">
        <f>Regression_LSq!F24</f>
        <v>5.9320243042563492</v>
      </c>
      <c r="G20" s="6"/>
    </row>
    <row r="21" spans="1:7" x14ac:dyDescent="0.3">
      <c r="A21" t="str">
        <f>Regression_LSq!A25</f>
        <v>C20</v>
      </c>
      <c r="B21">
        <f>Regression_LSq!B25</f>
        <v>17.52</v>
      </c>
      <c r="C21">
        <f>Regression_LSq!F25</f>
        <v>7.3982187270844362</v>
      </c>
      <c r="G21" s="6"/>
    </row>
    <row r="22" spans="1:7" x14ac:dyDescent="0.3">
      <c r="A22" t="str">
        <f>Regression_LSq!A26</f>
        <v>C21</v>
      </c>
      <c r="B22">
        <f>Regression_LSq!B26</f>
        <v>21.6</v>
      </c>
      <c r="C22">
        <f>Regression_LSq!F26</f>
        <v>9.0973743310255735</v>
      </c>
      <c r="G22" s="6"/>
    </row>
    <row r="23" spans="1:7" x14ac:dyDescent="0.3">
      <c r="A23" t="str">
        <f>Regression_LSq!A27</f>
        <v>C22</v>
      </c>
      <c r="B23">
        <f>Regression_LSq!B27</f>
        <v>15</v>
      </c>
      <c r="C23">
        <f>Regression_LSq!F27</f>
        <v>6.8084247124083017</v>
      </c>
      <c r="G23" s="6"/>
    </row>
    <row r="24" spans="1:7" x14ac:dyDescent="0.3">
      <c r="A24" t="str">
        <f>Regression_LSq!A28</f>
        <v>C23</v>
      </c>
      <c r="B24">
        <f>Regression_LSq!B28</f>
        <v>6.72</v>
      </c>
      <c r="C24">
        <f>Regression_LSq!F28</f>
        <v>4.938642738810306</v>
      </c>
      <c r="G24" s="6"/>
    </row>
    <row r="25" spans="1:7" x14ac:dyDescent="0.3">
      <c r="A25" t="str">
        <f>Regression_LSq!A29</f>
        <v>C24</v>
      </c>
      <c r="B25">
        <f>Regression_LSq!B29</f>
        <v>18.600000000000001</v>
      </c>
      <c r="C25">
        <f>Regression_LSq!F29</f>
        <v>7.9026709761647309</v>
      </c>
      <c r="G25" s="6"/>
    </row>
    <row r="26" spans="1:7" x14ac:dyDescent="0.3">
      <c r="A26" t="str">
        <f>Regression_LSq!A30</f>
        <v>C25</v>
      </c>
      <c r="B26">
        <f>Regression_LSq!B30</f>
        <v>11.64</v>
      </c>
      <c r="C26">
        <f>Regression_LSq!F30</f>
        <v>5.0299854743793535</v>
      </c>
      <c r="G26" s="6"/>
    </row>
    <row r="27" spans="1:7" x14ac:dyDescent="0.3">
      <c r="A27" t="str">
        <f>Regression_LSq!A31</f>
        <v>C26</v>
      </c>
      <c r="B27">
        <f>Regression_LSq!B31</f>
        <v>14.4</v>
      </c>
      <c r="C27">
        <f>Regression_LSq!F31</f>
        <v>6.9742905927689884</v>
      </c>
      <c r="G27" s="6"/>
    </row>
    <row r="28" spans="1:7" x14ac:dyDescent="0.3">
      <c r="A28" t="str">
        <f>Regression_LSq!A32</f>
        <v>C27</v>
      </c>
      <c r="B28">
        <f>Regression_LSq!B32</f>
        <v>18</v>
      </c>
      <c r="C28">
        <f>Regression_LSq!F32</f>
        <v>7.8281776387275199</v>
      </c>
      <c r="G28" s="6"/>
    </row>
    <row r="29" spans="1:7" x14ac:dyDescent="0.3">
      <c r="A29" t="str">
        <f>Regression_LSq!A33</f>
        <v>C28</v>
      </c>
      <c r="B29">
        <f>Regression_LSq!B33</f>
        <v>19.079999999999998</v>
      </c>
      <c r="C29">
        <f>Regression_LSq!F33</f>
        <v>8.021766779297689</v>
      </c>
      <c r="G29" s="6"/>
    </row>
    <row r="30" spans="1:7" x14ac:dyDescent="0.3">
      <c r="A30" t="str">
        <f>Regression_LSq!A34</f>
        <v>C29</v>
      </c>
      <c r="B30">
        <f>Regression_LSq!B34</f>
        <v>22.68</v>
      </c>
      <c r="C30">
        <f>Regression_LSq!F34</f>
        <v>9.2037934234169967</v>
      </c>
      <c r="G30" s="6"/>
    </row>
    <row r="31" spans="1:7" x14ac:dyDescent="0.3">
      <c r="A31" t="str">
        <f>Regression_LSq!A35</f>
        <v>C30</v>
      </c>
      <c r="B31">
        <f>Regression_LSq!B35</f>
        <v>12.6</v>
      </c>
      <c r="C31">
        <f>Regression_LSq!F35</f>
        <v>5.6903470001905028</v>
      </c>
      <c r="G31" s="6"/>
    </row>
    <row r="32" spans="1:7" x14ac:dyDescent="0.3">
      <c r="A32" t="str">
        <f>Regression_LSq!A36</f>
        <v>C31</v>
      </c>
      <c r="B32">
        <f>Regression_LSq!B36</f>
        <v>25.68</v>
      </c>
      <c r="C32">
        <f>Regression_LSq!F36</f>
        <v>10.131503385934629</v>
      </c>
      <c r="G32" s="6"/>
    </row>
    <row r="33" spans="1:7" x14ac:dyDescent="0.3">
      <c r="A33" t="str">
        <f>Regression_LSq!A37</f>
        <v>C32</v>
      </c>
      <c r="B33">
        <f>Regression_LSq!B37</f>
        <v>14.28</v>
      </c>
      <c r="C33">
        <f>Regression_LSq!F37</f>
        <v>6.4165873221559133</v>
      </c>
      <c r="G33" s="6"/>
    </row>
    <row r="34" spans="1:7" x14ac:dyDescent="0.3">
      <c r="A34" t="str">
        <f>Regression_LSq!A38</f>
        <v>C33</v>
      </c>
      <c r="B34">
        <f>Regression_LSq!B38</f>
        <v>11.52</v>
      </c>
      <c r="C34">
        <f>Regression_LSq!F38</f>
        <v>4.5002762182955998</v>
      </c>
      <c r="G34" s="6"/>
    </row>
    <row r="35" spans="1:7" x14ac:dyDescent="0.3">
      <c r="A35" t="str">
        <f>Regression_LSq!A39</f>
        <v>C34</v>
      </c>
      <c r="B35">
        <f>Regression_LSq!B39</f>
        <v>20.88</v>
      </c>
      <c r="C35">
        <f>Regression_LSq!F39</f>
        <v>8.5239602883076238</v>
      </c>
      <c r="G35" s="6"/>
    </row>
    <row r="36" spans="1:7" x14ac:dyDescent="0.3">
      <c r="A36" t="str">
        <f>Regression_LSq!A40</f>
        <v>C35</v>
      </c>
      <c r="B36">
        <f>Regression_LSq!B40</f>
        <v>11.4</v>
      </c>
      <c r="C36">
        <f>Regression_LSq!F40</f>
        <v>4.271691931236413</v>
      </c>
      <c r="G36" s="6"/>
    </row>
    <row r="37" spans="1:7" x14ac:dyDescent="0.3">
      <c r="A37" t="str">
        <f>Regression_LSq!A41</f>
        <v>C36</v>
      </c>
      <c r="B37">
        <f>Regression_LSq!B41</f>
        <v>15.36</v>
      </c>
      <c r="C37">
        <f>Regression_LSq!F41</f>
        <v>7.3357260260623729</v>
      </c>
      <c r="G37" s="6"/>
    </row>
    <row r="38" spans="1:7" x14ac:dyDescent="0.3">
      <c r="A38" t="str">
        <f>Regression_LSq!A42</f>
        <v>C37</v>
      </c>
      <c r="B38">
        <f>Regression_LSq!B42</f>
        <v>30.48</v>
      </c>
      <c r="C38">
        <f>Regression_LSq!F42</f>
        <v>11.004673395960115</v>
      </c>
      <c r="G38" s="6"/>
    </row>
    <row r="39" spans="1:7" x14ac:dyDescent="0.3">
      <c r="A39" t="str">
        <f>Regression_LSq!A43</f>
        <v>C38</v>
      </c>
      <c r="B39">
        <f>Regression_LSq!B43</f>
        <v>17.64</v>
      </c>
      <c r="C39">
        <f>Regression_LSq!F43</f>
        <v>9.1893394285289425</v>
      </c>
      <c r="G39" s="6"/>
    </row>
    <row r="40" spans="1:7" x14ac:dyDescent="0.3">
      <c r="A40" t="str">
        <f>Regression_LSq!A44</f>
        <v>C39</v>
      </c>
      <c r="B40">
        <f>Regression_LSq!B44</f>
        <v>12.12</v>
      </c>
      <c r="C40">
        <f>Regression_LSq!F44</f>
        <v>6.3371608026818906</v>
      </c>
      <c r="G40" s="6"/>
    </row>
    <row r="41" spans="1:7" x14ac:dyDescent="0.3">
      <c r="A41" t="str">
        <f>Regression_LSq!A45</f>
        <v>C40</v>
      </c>
      <c r="B41">
        <f>Regression_LSq!B45</f>
        <v>25.8</v>
      </c>
      <c r="C41">
        <f>Regression_LSq!F45</f>
        <v>10.064971508065382</v>
      </c>
      <c r="G41" s="6"/>
    </row>
    <row r="42" spans="1:7" x14ac:dyDescent="0.3">
      <c r="A42" t="str">
        <f>Regression_LSq!A46</f>
        <v>C41</v>
      </c>
      <c r="B42">
        <f>Regression_LSq!B46</f>
        <v>19.920000000000002</v>
      </c>
      <c r="C42">
        <f>Regression_LSq!F46</f>
        <v>8.1313129933364401</v>
      </c>
      <c r="G42" s="6"/>
    </row>
    <row r="43" spans="1:7" x14ac:dyDescent="0.3">
      <c r="A43" t="str">
        <f>Regression_LSq!A47</f>
        <v>C42</v>
      </c>
      <c r="B43">
        <f>Regression_LSq!B47</f>
        <v>20.52</v>
      </c>
      <c r="C43">
        <f>Regression_LSq!F47</f>
        <v>8.9589210514428537</v>
      </c>
      <c r="G43" s="6"/>
    </row>
    <row r="44" spans="1:7" x14ac:dyDescent="0.3">
      <c r="A44" t="str">
        <f>Regression_LSq!A48</f>
        <v>C43</v>
      </c>
      <c r="B44">
        <f>Regression_LSq!B48</f>
        <v>24.84</v>
      </c>
      <c r="C44">
        <f>Regression_LSq!F48</f>
        <v>9.7195152661665443</v>
      </c>
      <c r="G44" s="6"/>
    </row>
    <row r="45" spans="1:7" x14ac:dyDescent="0.3">
      <c r="A45" t="str">
        <f>Regression_LSq!A49</f>
        <v>C44</v>
      </c>
      <c r="B45">
        <f>Regression_LSq!B49</f>
        <v>15.48</v>
      </c>
      <c r="C45">
        <f>Regression_LSq!F49</f>
        <v>6.7346361304999043</v>
      </c>
      <c r="G45" s="6"/>
    </row>
    <row r="46" spans="1:7" x14ac:dyDescent="0.3">
      <c r="A46" t="str">
        <f>Regression_LSq!A50</f>
        <v>C45</v>
      </c>
      <c r="B46">
        <f>Regression_LSq!B50</f>
        <v>10.199999999999999</v>
      </c>
      <c r="C46">
        <f>Regression_LSq!F50</f>
        <v>6.050323476763273</v>
      </c>
      <c r="G46" s="6"/>
    </row>
    <row r="47" spans="1:7" x14ac:dyDescent="0.3">
      <c r="A47" t="str">
        <f>Regression_LSq!A51</f>
        <v>C46</v>
      </c>
      <c r="B47">
        <f>Regression_LSq!B51</f>
        <v>17.88</v>
      </c>
      <c r="C47">
        <f>Regression_LSq!F51</f>
        <v>7.7601941996050234</v>
      </c>
      <c r="G47" s="6"/>
    </row>
    <row r="48" spans="1:7" x14ac:dyDescent="0.3">
      <c r="A48" t="str">
        <f>Regression_LSq!A52</f>
        <v>C47</v>
      </c>
      <c r="B48">
        <f>Regression_LSq!B52</f>
        <v>12.72</v>
      </c>
      <c r="C48">
        <f>Regression_LSq!F52</f>
        <v>5.2975984196277839</v>
      </c>
      <c r="G48" s="6"/>
    </row>
    <row r="49" spans="1:7" x14ac:dyDescent="0.3">
      <c r="A49" t="str">
        <f>Regression_LSq!A53</f>
        <v>C48</v>
      </c>
      <c r="B49">
        <f>Regression_LSq!B53</f>
        <v>27.84</v>
      </c>
      <c r="C49">
        <f>Regression_LSq!F53</f>
        <v>10.503493998192432</v>
      </c>
      <c r="G49" s="6"/>
    </row>
    <row r="50" spans="1:7" x14ac:dyDescent="0.3">
      <c r="A50" t="str">
        <f>Regression_LSq!A54</f>
        <v>C49</v>
      </c>
      <c r="B50">
        <f>Regression_LSq!B54</f>
        <v>17.760000000000002</v>
      </c>
      <c r="C50">
        <f>Regression_LSq!F54</f>
        <v>7.9817039092244952</v>
      </c>
      <c r="G50" s="6"/>
    </row>
    <row r="51" spans="1:7" x14ac:dyDescent="0.3">
      <c r="A51" t="str">
        <f>Regression_LSq!A55</f>
        <v>C50</v>
      </c>
      <c r="B51">
        <f>Regression_LSq!B55</f>
        <v>11.64</v>
      </c>
      <c r="C51">
        <f>Regression_LSq!F55</f>
        <v>5.1652855347636715</v>
      </c>
      <c r="G51" s="6"/>
    </row>
    <row r="52" spans="1:7" x14ac:dyDescent="0.3">
      <c r="A52" t="str">
        <f>Regression_LSq!A56</f>
        <v>C51</v>
      </c>
      <c r="B52">
        <f>Regression_LSq!B56</f>
        <v>13.68</v>
      </c>
      <c r="C52">
        <f>Regression_LSq!F56</f>
        <v>6.165735941353951</v>
      </c>
      <c r="G52" s="6"/>
    </row>
    <row r="53" spans="1:7" x14ac:dyDescent="0.3">
      <c r="A53" t="str">
        <f>Regression_LSq!A57</f>
        <v>C52</v>
      </c>
      <c r="B53">
        <f>Regression_LSq!B57</f>
        <v>12.84</v>
      </c>
      <c r="C53">
        <f>Regression_LSq!F57</f>
        <v>5.1397600133037127</v>
      </c>
      <c r="G53" s="6"/>
    </row>
    <row r="54" spans="1:7" x14ac:dyDescent="0.3">
      <c r="A54" t="str">
        <f>Regression_LSq!A58</f>
        <v>C53</v>
      </c>
      <c r="B54">
        <f>Regression_LSq!B58</f>
        <v>27.12</v>
      </c>
      <c r="C54">
        <f>Regression_LSq!F58</f>
        <v>10.372793610225337</v>
      </c>
      <c r="G54" s="6"/>
    </row>
    <row r="55" spans="1:7" x14ac:dyDescent="0.3">
      <c r="A55" t="str">
        <f>Regression_LSq!A59</f>
        <v>C54</v>
      </c>
      <c r="B55">
        <f>Regression_LSq!B59</f>
        <v>25.44</v>
      </c>
      <c r="C55">
        <f>Regression_LSq!F59</f>
        <v>10.515273089074924</v>
      </c>
      <c r="G55" s="6"/>
    </row>
    <row r="56" spans="1:7" x14ac:dyDescent="0.3">
      <c r="A56" t="str">
        <f>Regression_LSq!A60</f>
        <v>C55</v>
      </c>
      <c r="B56">
        <f>Regression_LSq!B60</f>
        <v>24.24</v>
      </c>
      <c r="C56">
        <f>Regression_LSq!F60</f>
        <v>9.5138579456634567</v>
      </c>
      <c r="G56" s="6"/>
    </row>
    <row r="57" spans="1:7" x14ac:dyDescent="0.3">
      <c r="A57" t="str">
        <f>Regression_LSq!A61</f>
        <v>C56</v>
      </c>
      <c r="B57">
        <f>Regression_LSq!B61</f>
        <v>28.44</v>
      </c>
      <c r="C57">
        <f>Regression_LSq!F61</f>
        <v>11.084507155333693</v>
      </c>
      <c r="G57" s="6"/>
    </row>
    <row r="58" spans="1:7" x14ac:dyDescent="0.3">
      <c r="A58" t="str">
        <f>Regression_LSq!A62</f>
        <v>C57</v>
      </c>
      <c r="B58">
        <f>Regression_LSq!B62</f>
        <v>6.6</v>
      </c>
      <c r="C58">
        <f>Regression_LSq!F62</f>
        <v>6.0241713506253376</v>
      </c>
      <c r="G58" s="6"/>
    </row>
    <row r="59" spans="1:7" x14ac:dyDescent="0.3">
      <c r="A59" t="str">
        <f>Regression_LSq!A63</f>
        <v>C58</v>
      </c>
      <c r="B59">
        <f>Regression_LSq!B63</f>
        <v>15.84</v>
      </c>
      <c r="C59">
        <f>Regression_LSq!F63</f>
        <v>6.7400531268085002</v>
      </c>
      <c r="G59" s="6"/>
    </row>
    <row r="60" spans="1:7" x14ac:dyDescent="0.3">
      <c r="A60" t="str">
        <f>Regression_LSq!A64</f>
        <v>C59</v>
      </c>
      <c r="B60">
        <f>Regression_LSq!B64</f>
        <v>28.56</v>
      </c>
      <c r="C60">
        <f>Regression_LSq!F64</f>
        <v>11.080077757779748</v>
      </c>
      <c r="G60" s="6"/>
    </row>
    <row r="61" spans="1:7" x14ac:dyDescent="0.3">
      <c r="A61" t="str">
        <f>Regression_LSq!A65</f>
        <v>C60</v>
      </c>
      <c r="B61">
        <f>Regression_LSq!B65</f>
        <v>22.08</v>
      </c>
      <c r="C61">
        <f>Regression_LSq!F65</f>
        <v>8.7862587790808782</v>
      </c>
      <c r="G61" s="6"/>
    </row>
    <row r="62" spans="1:7" x14ac:dyDescent="0.3">
      <c r="A62" t="str">
        <f>Regression_LSq!A66</f>
        <v>C61</v>
      </c>
      <c r="B62">
        <f>Regression_LSq!B66</f>
        <v>9.7200000000000006</v>
      </c>
      <c r="C62">
        <f>Regression_LSq!F66</f>
        <v>3.8532130420593456</v>
      </c>
      <c r="G62" s="6"/>
    </row>
    <row r="63" spans="1:7" x14ac:dyDescent="0.3">
      <c r="A63" t="str">
        <f>Regression_LSq!A67</f>
        <v>C62</v>
      </c>
      <c r="B63">
        <f>Regression_LSq!B67</f>
        <v>29.04</v>
      </c>
      <c r="C63">
        <f>Regression_LSq!F67</f>
        <v>11.246227536215827</v>
      </c>
      <c r="G63" s="6"/>
    </row>
    <row r="64" spans="1:7" x14ac:dyDescent="0.3">
      <c r="A64" t="str">
        <f>Regression_LSq!A68</f>
        <v>C63</v>
      </c>
      <c r="B64">
        <f>Regression_LSq!B68</f>
        <v>18.84</v>
      </c>
      <c r="C64">
        <f>Regression_LSq!F68</f>
        <v>7.9266444567280665</v>
      </c>
      <c r="G64" s="6"/>
    </row>
    <row r="65" spans="1:7" x14ac:dyDescent="0.3">
      <c r="A65" t="str">
        <f>Regression_LSq!A69</f>
        <v>C64</v>
      </c>
      <c r="B65">
        <f>Regression_LSq!B69</f>
        <v>16.8</v>
      </c>
      <c r="C65">
        <f>Regression_LSq!F69</f>
        <v>7.2490209834397055</v>
      </c>
      <c r="G65" s="6"/>
    </row>
    <row r="66" spans="1:7" x14ac:dyDescent="0.3">
      <c r="A66" t="str">
        <f>Regression_LSq!A70</f>
        <v>C65</v>
      </c>
      <c r="B66">
        <f>Regression_LSq!B70</f>
        <v>21.6</v>
      </c>
      <c r="C66">
        <f>Regression_LSq!F70</f>
        <v>9.1754438073980538</v>
      </c>
      <c r="G66" s="6"/>
    </row>
    <row r="67" spans="1:7" x14ac:dyDescent="0.3">
      <c r="A67" t="str">
        <f>Regression_LSq!A71</f>
        <v>C66</v>
      </c>
      <c r="B67">
        <f>Regression_LSq!B71</f>
        <v>11.16</v>
      </c>
      <c r="C67">
        <f>Regression_LSq!F71</f>
        <v>4.6380876516778606</v>
      </c>
      <c r="G67" s="6"/>
    </row>
    <row r="68" spans="1:7" x14ac:dyDescent="0.3">
      <c r="A68" t="str">
        <f>Regression_LSq!A72</f>
        <v>C67</v>
      </c>
      <c r="B68">
        <f>Regression_LSq!B72</f>
        <v>11.4</v>
      </c>
      <c r="C68">
        <f>Regression_LSq!F72</f>
        <v>5.6713398985245194</v>
      </c>
      <c r="G68" s="6"/>
    </row>
    <row r="69" spans="1:7" x14ac:dyDescent="0.3">
      <c r="A69" t="str">
        <f>Regression_LSq!A73</f>
        <v>C68</v>
      </c>
      <c r="B69">
        <f>Regression_LSq!B73</f>
        <v>16.079999999999998</v>
      </c>
      <c r="C69">
        <f>Regression_LSq!F73</f>
        <v>6.2503113101265919</v>
      </c>
      <c r="G69" s="6"/>
    </row>
    <row r="70" spans="1:7" x14ac:dyDescent="0.3">
      <c r="A70" t="str">
        <f>Regression_LSq!A74</f>
        <v>C69</v>
      </c>
      <c r="B70">
        <f>Regression_LSq!B74</f>
        <v>22.68</v>
      </c>
      <c r="C70">
        <f>Regression_LSq!F74</f>
        <v>8.9782313694895741</v>
      </c>
      <c r="G70" s="6"/>
    </row>
    <row r="71" spans="1:7" x14ac:dyDescent="0.3">
      <c r="A71" t="str">
        <f>Regression_LSq!A75</f>
        <v>C70</v>
      </c>
      <c r="B71">
        <f>Regression_LSq!B75</f>
        <v>26.76</v>
      </c>
      <c r="C71">
        <f>Regression_LSq!F75</f>
        <v>10.494200668734639</v>
      </c>
      <c r="G71" s="6"/>
    </row>
    <row r="72" spans="1:7" x14ac:dyDescent="0.3">
      <c r="A72" t="str">
        <f>Regression_LSq!A76</f>
        <v>C71</v>
      </c>
      <c r="B72">
        <f>Regression_LSq!B76</f>
        <v>21.96</v>
      </c>
      <c r="C72">
        <f>Regression_LSq!F76</f>
        <v>8.9891137885904797</v>
      </c>
      <c r="G72" s="6"/>
    </row>
    <row r="73" spans="1:7" x14ac:dyDescent="0.3">
      <c r="A73" t="str">
        <f>Regression_LSq!A77</f>
        <v>C72</v>
      </c>
      <c r="B73">
        <f>Regression_LSq!B77</f>
        <v>14.88</v>
      </c>
      <c r="C73">
        <f>Regression_LSq!F77</f>
        <v>5.9968742337171062</v>
      </c>
      <c r="G73" s="6"/>
    </row>
    <row r="74" spans="1:7" x14ac:dyDescent="0.3">
      <c r="A74" t="str">
        <f>Regression_LSq!A78</f>
        <v>C73</v>
      </c>
      <c r="B74">
        <f>Regression_LSq!B78</f>
        <v>10.56</v>
      </c>
      <c r="C74">
        <f>Regression_LSq!F78</f>
        <v>6.6079627003045314</v>
      </c>
      <c r="G74" s="6"/>
    </row>
    <row r="75" spans="1:7" x14ac:dyDescent="0.3">
      <c r="A75" t="str">
        <f>Regression_LSq!A79</f>
        <v>C74</v>
      </c>
      <c r="B75">
        <f>Regression_LSq!B79</f>
        <v>13.2</v>
      </c>
      <c r="C75">
        <f>Regression_LSq!F79</f>
        <v>5.3978997779956579</v>
      </c>
      <c r="G75" s="6"/>
    </row>
    <row r="76" spans="1:7" x14ac:dyDescent="0.3">
      <c r="A76" t="str">
        <f>Regression_LSq!A80</f>
        <v>C75</v>
      </c>
      <c r="B76">
        <f>Regression_LSq!B80</f>
        <v>20.399999999999999</v>
      </c>
      <c r="C76">
        <f>Regression_LSq!F80</f>
        <v>8.359392879504318</v>
      </c>
      <c r="G76" s="6"/>
    </row>
    <row r="77" spans="1:7" x14ac:dyDescent="0.3">
      <c r="A77" t="str">
        <f>Regression_LSq!A81</f>
        <v>C76</v>
      </c>
      <c r="B77">
        <f>Regression_LSq!B81</f>
        <v>10.44</v>
      </c>
      <c r="C77">
        <f>Regression_LSq!F81</f>
        <v>8.1664979820961001</v>
      </c>
      <c r="G77" s="6"/>
    </row>
    <row r="78" spans="1:7" x14ac:dyDescent="0.3">
      <c r="A78" t="str">
        <f>Regression_LSq!A82</f>
        <v>C77</v>
      </c>
      <c r="B78">
        <f>Regression_LSq!B82</f>
        <v>8.2799999999999994</v>
      </c>
      <c r="C78">
        <f>Regression_LSq!F82</f>
        <v>3.4357819113721977</v>
      </c>
      <c r="G78" s="6"/>
    </row>
    <row r="79" spans="1:7" x14ac:dyDescent="0.3">
      <c r="A79" t="str">
        <f>Regression_LSq!A83</f>
        <v>C78</v>
      </c>
      <c r="B79">
        <f>Regression_LSq!B83</f>
        <v>17.04</v>
      </c>
      <c r="C79">
        <f>Regression_LSq!F83</f>
        <v>7.4414243394397612</v>
      </c>
      <c r="G79" s="6"/>
    </row>
    <row r="80" spans="1:7" x14ac:dyDescent="0.3">
      <c r="A80" t="str">
        <f>Regression_LSq!A84</f>
        <v>C79</v>
      </c>
      <c r="B80">
        <f>Regression_LSq!B84</f>
        <v>6.36</v>
      </c>
      <c r="C80">
        <f>Regression_LSq!F84</f>
        <v>5.9012247311699193</v>
      </c>
      <c r="G80" s="6"/>
    </row>
    <row r="81" spans="1:7" x14ac:dyDescent="0.3">
      <c r="A81" t="str">
        <f>Regression_LSq!A85</f>
        <v>C80</v>
      </c>
      <c r="B81">
        <f>Regression_LSq!B85</f>
        <v>13.2</v>
      </c>
      <c r="C81">
        <f>Regression_LSq!F85</f>
        <v>5.3388542920651565</v>
      </c>
      <c r="G81" s="6"/>
    </row>
    <row r="82" spans="1:7" x14ac:dyDescent="0.3">
      <c r="A82" t="str">
        <f>Regression_LSq!A86</f>
        <v>C81</v>
      </c>
      <c r="B82">
        <f>Regression_LSq!B86</f>
        <v>14.16</v>
      </c>
      <c r="C82">
        <f>Regression_LSq!F86</f>
        <v>6.700268655544952</v>
      </c>
      <c r="G82" s="6"/>
    </row>
    <row r="83" spans="1:7" x14ac:dyDescent="0.3">
      <c r="A83" t="str">
        <f>Regression_LSq!A87</f>
        <v>C82</v>
      </c>
      <c r="B83">
        <f>Regression_LSq!B87</f>
        <v>14.76</v>
      </c>
      <c r="C83">
        <f>Regression_LSq!F87</f>
        <v>6.857727993736181</v>
      </c>
      <c r="G83" s="6"/>
    </row>
    <row r="84" spans="1:7" x14ac:dyDescent="0.3">
      <c r="A84" t="str">
        <f>Regression_LSq!A88</f>
        <v>C83</v>
      </c>
      <c r="B84">
        <f>Regression_LSq!B88</f>
        <v>13.56</v>
      </c>
      <c r="C84">
        <f>Regression_LSq!F88</f>
        <v>6.1224314731837648</v>
      </c>
      <c r="G84" s="6"/>
    </row>
    <row r="85" spans="1:7" x14ac:dyDescent="0.3">
      <c r="A85" t="str">
        <f>Regression_LSq!A89</f>
        <v>C84</v>
      </c>
      <c r="B85">
        <f>Regression_LSq!B89</f>
        <v>16.32</v>
      </c>
      <c r="C85">
        <f>Regression_LSq!F89</f>
        <v>8.5129953453217198</v>
      </c>
      <c r="G85" s="6"/>
    </row>
    <row r="86" spans="1:7" x14ac:dyDescent="0.3">
      <c r="A86" t="str">
        <f>Regression_LSq!A90</f>
        <v>C85</v>
      </c>
      <c r="B86">
        <f>Regression_LSq!B90</f>
        <v>26.04</v>
      </c>
      <c r="C86">
        <f>Regression_LSq!F90</f>
        <v>10.413139430249764</v>
      </c>
      <c r="G86" s="6"/>
    </row>
    <row r="87" spans="1:7" x14ac:dyDescent="0.3">
      <c r="A87" t="str">
        <f>Regression_LSq!A91</f>
        <v>C86</v>
      </c>
      <c r="B87">
        <f>Regression_LSq!B91</f>
        <v>18.239999999999998</v>
      </c>
      <c r="C87">
        <f>Regression_LSq!F91</f>
        <v>7.8992731358349646</v>
      </c>
      <c r="G87" s="6"/>
    </row>
    <row r="88" spans="1:7" x14ac:dyDescent="0.3">
      <c r="A88" t="str">
        <f>Regression_LSq!A92</f>
        <v>C87</v>
      </c>
      <c r="B88">
        <f>Regression_LSq!B92</f>
        <v>14.4</v>
      </c>
      <c r="C88">
        <f>Regression_LSq!F92</f>
        <v>6.7253044012276444</v>
      </c>
      <c r="G88" s="6"/>
    </row>
    <row r="89" spans="1:7" x14ac:dyDescent="0.3">
      <c r="A89" t="str">
        <f>Regression_LSq!A93</f>
        <v>C88</v>
      </c>
      <c r="B89">
        <f>Regression_LSq!B93</f>
        <v>19.2</v>
      </c>
      <c r="C89">
        <f>Regression_LSq!F93</f>
        <v>8.9598578416139283</v>
      </c>
      <c r="G89" s="6"/>
    </row>
    <row r="90" spans="1:7" x14ac:dyDescent="0.3">
      <c r="A90" t="str">
        <f>Regression_LSq!A94</f>
        <v>C89</v>
      </c>
      <c r="B90">
        <f>Regression_LSq!B94</f>
        <v>15.48</v>
      </c>
      <c r="C90">
        <f>Regression_LSq!F94</f>
        <v>7.1933214508407319</v>
      </c>
      <c r="G90" s="6"/>
    </row>
    <row r="91" spans="1:7" x14ac:dyDescent="0.3">
      <c r="A91" t="str">
        <f>Regression_LSq!A95</f>
        <v>C90</v>
      </c>
      <c r="B91">
        <f>Regression_LSq!B95</f>
        <v>20.04</v>
      </c>
      <c r="C91">
        <f>Regression_LSq!F95</f>
        <v>9.5766207492864268</v>
      </c>
      <c r="G91" s="6"/>
    </row>
    <row r="92" spans="1:7" x14ac:dyDescent="0.3">
      <c r="A92" t="str">
        <f>Regression_LSq!A96</f>
        <v>C91</v>
      </c>
      <c r="B92">
        <f>Regression_LSq!B96</f>
        <v>13.44</v>
      </c>
      <c r="C92">
        <f>Regression_LSq!F96</f>
        <v>5.1945678401525219</v>
      </c>
      <c r="G92" s="6"/>
    </row>
    <row r="93" spans="1:7" x14ac:dyDescent="0.3">
      <c r="A93" t="str">
        <f>Regression_LSq!A97</f>
        <v>C92</v>
      </c>
      <c r="B93">
        <f>Regression_LSq!B97</f>
        <v>8.76</v>
      </c>
      <c r="C93">
        <f>Regression_LSq!F97</f>
        <v>3.5485217474113551</v>
      </c>
      <c r="G93" s="6"/>
    </row>
    <row r="94" spans="1:7" x14ac:dyDescent="0.3">
      <c r="A94" t="str">
        <f>Regression_LSq!A98</f>
        <v>C93</v>
      </c>
      <c r="B94">
        <f>Regression_LSq!B98</f>
        <v>23.28</v>
      </c>
      <c r="C94">
        <f>Regression_LSq!F98</f>
        <v>9.7262587399180269</v>
      </c>
      <c r="G94" s="6"/>
    </row>
    <row r="95" spans="1:7" x14ac:dyDescent="0.3">
      <c r="A95" t="str">
        <f>Regression_LSq!A99</f>
        <v>C94</v>
      </c>
      <c r="B95">
        <f>Regression_LSq!B99</f>
        <v>26.64</v>
      </c>
      <c r="C95">
        <f>Regression_LSq!F99</f>
        <v>10.620676695450904</v>
      </c>
      <c r="G95" s="6"/>
    </row>
    <row r="96" spans="1:7" x14ac:dyDescent="0.3">
      <c r="A96" t="str">
        <f>Regression_LSq!A100</f>
        <v>C95</v>
      </c>
      <c r="B96">
        <f>Regression_LSq!B100</f>
        <v>13.8</v>
      </c>
      <c r="C96">
        <f>Regression_LSq!F100</f>
        <v>5.7508064889447237</v>
      </c>
      <c r="G96" s="6"/>
    </row>
    <row r="97" spans="1:7" x14ac:dyDescent="0.3">
      <c r="A97" t="str">
        <f>Regression_LSq!A101</f>
        <v>C96</v>
      </c>
      <c r="B97">
        <f>Regression_LSq!B101</f>
        <v>20.28</v>
      </c>
      <c r="C97">
        <f>Regression_LSq!F101</f>
        <v>8.7043045192751585</v>
      </c>
      <c r="G97" s="6"/>
    </row>
    <row r="98" spans="1:7" x14ac:dyDescent="0.3">
      <c r="A98" t="str">
        <f>Regression_LSq!A102</f>
        <v>C97</v>
      </c>
      <c r="B98">
        <f>Regression_LSq!B102</f>
        <v>14.04</v>
      </c>
      <c r="C98">
        <f>Regression_LSq!F102</f>
        <v>5.9248584678943477</v>
      </c>
      <c r="G98" s="6"/>
    </row>
    <row r="99" spans="1:7" x14ac:dyDescent="0.3">
      <c r="A99" t="str">
        <f>Regression_LSq!A103</f>
        <v>C98</v>
      </c>
      <c r="B99">
        <f>Regression_LSq!B103</f>
        <v>18.600000000000001</v>
      </c>
      <c r="C99">
        <f>Regression_LSq!F103</f>
        <v>7.6644767624955499</v>
      </c>
      <c r="G99" s="6"/>
    </row>
    <row r="100" spans="1:7" x14ac:dyDescent="0.3">
      <c r="A100" t="str">
        <f>Regression_LSq!A104</f>
        <v>C99</v>
      </c>
      <c r="B100">
        <f>Regression_LSq!B104</f>
        <v>30.48</v>
      </c>
      <c r="C100">
        <f>Regression_LSq!F104</f>
        <v>11.579870245888948</v>
      </c>
      <c r="G100" s="6"/>
    </row>
    <row r="101" spans="1:7" x14ac:dyDescent="0.3">
      <c r="A101" t="str">
        <f>Regression_LSq!A105</f>
        <v>C100</v>
      </c>
      <c r="B101">
        <f>Regression_LSq!B105</f>
        <v>20.64</v>
      </c>
      <c r="C101">
        <f>Regression_LSq!F105</f>
        <v>9.2701928812110221</v>
      </c>
      <c r="G101" s="6"/>
    </row>
    <row r="102" spans="1:7" x14ac:dyDescent="0.3">
      <c r="A102" t="str">
        <f>Regression_LSq!A106</f>
        <v>C101</v>
      </c>
      <c r="B102">
        <f>Regression_LSq!B106</f>
        <v>14.04</v>
      </c>
      <c r="C102">
        <f>Regression_LSq!F106</f>
        <v>6.7424963520130454</v>
      </c>
      <c r="G102" s="6"/>
    </row>
    <row r="103" spans="1:7" x14ac:dyDescent="0.3">
      <c r="A103" t="str">
        <f>Regression_LSq!A107</f>
        <v>C102</v>
      </c>
      <c r="B103">
        <f>Regression_LSq!B107</f>
        <v>28.56</v>
      </c>
      <c r="C103">
        <f>Regression_LSq!F107</f>
        <v>11.498280026004288</v>
      </c>
      <c r="G103" s="6"/>
    </row>
    <row r="104" spans="1:7" x14ac:dyDescent="0.3">
      <c r="A104" t="str">
        <f>Regression_LSq!A108</f>
        <v>C103</v>
      </c>
      <c r="B104">
        <f>Regression_LSq!B108</f>
        <v>17.760000000000002</v>
      </c>
      <c r="C104">
        <f>Regression_LSq!F108</f>
        <v>7.9088973556564763</v>
      </c>
      <c r="G104" s="6"/>
    </row>
    <row r="105" spans="1:7" x14ac:dyDescent="0.3">
      <c r="A105" t="str">
        <f>Regression_LSq!A109</f>
        <v>C104</v>
      </c>
      <c r="B105">
        <f>Regression_LSq!B109</f>
        <v>17.64</v>
      </c>
      <c r="C105">
        <f>Regression_LSq!F109</f>
        <v>7.2849192015635085</v>
      </c>
      <c r="G105" s="6"/>
    </row>
    <row r="106" spans="1:7" x14ac:dyDescent="0.3">
      <c r="A106" t="str">
        <f>Regression_LSq!A110</f>
        <v>C105</v>
      </c>
      <c r="B106">
        <f>Regression_LSq!B110</f>
        <v>24.84</v>
      </c>
      <c r="C106">
        <f>Regression_LSq!F110</f>
        <v>9.6317158281260404</v>
      </c>
      <c r="G106" s="6"/>
    </row>
    <row r="107" spans="1:7" x14ac:dyDescent="0.3">
      <c r="A107" t="str">
        <f>Regression_LSq!A111</f>
        <v>C106</v>
      </c>
      <c r="B107">
        <f>Regression_LSq!B111</f>
        <v>23.04</v>
      </c>
      <c r="C107">
        <f>Regression_LSq!F111</f>
        <v>9.9010260699979611</v>
      </c>
      <c r="G107" s="6"/>
    </row>
    <row r="108" spans="1:7" x14ac:dyDescent="0.3">
      <c r="A108" t="str">
        <f>Regression_LSq!A112</f>
        <v>C107</v>
      </c>
      <c r="B108">
        <f>Regression_LSq!B112</f>
        <v>8.64</v>
      </c>
      <c r="C108">
        <f>Regression_LSq!F112</f>
        <v>4.4348812363664187</v>
      </c>
      <c r="G108" s="6"/>
    </row>
    <row r="109" spans="1:7" x14ac:dyDescent="0.3">
      <c r="A109" t="str">
        <f>Regression_LSq!A113</f>
        <v>C108</v>
      </c>
      <c r="B109">
        <f>Regression_LSq!B113</f>
        <v>10.44</v>
      </c>
      <c r="C109">
        <f>Regression_LSq!F113</f>
        <v>4.2219801776124113</v>
      </c>
      <c r="G109" s="6"/>
    </row>
    <row r="110" spans="1:7" x14ac:dyDescent="0.3">
      <c r="A110" t="str">
        <f>Regression_LSq!A114</f>
        <v>C109</v>
      </c>
      <c r="B110">
        <f>Regression_LSq!B114</f>
        <v>6.36</v>
      </c>
      <c r="C110">
        <f>Regression_LSq!F114</f>
        <v>3.1511475153649444</v>
      </c>
      <c r="G110" s="6"/>
    </row>
    <row r="111" spans="1:7" x14ac:dyDescent="0.3">
      <c r="A111" t="str">
        <f>Regression_LSq!A115</f>
        <v>C110</v>
      </c>
      <c r="B111">
        <f>Regression_LSq!B115</f>
        <v>23.76</v>
      </c>
      <c r="C111">
        <f>Regression_LSq!F115</f>
        <v>9.1258372976500244</v>
      </c>
      <c r="G111" s="6"/>
    </row>
    <row r="112" spans="1:7" x14ac:dyDescent="0.3">
      <c r="A112" t="str">
        <f>Regression_LSq!A116</f>
        <v>C111</v>
      </c>
      <c r="B112">
        <f>Regression_LSq!B116</f>
        <v>16.079999999999998</v>
      </c>
      <c r="C112">
        <f>Regression_LSq!F116</f>
        <v>7.2461274846119297</v>
      </c>
      <c r="G112" s="6"/>
    </row>
    <row r="113" spans="1:7" x14ac:dyDescent="0.3">
      <c r="A113" t="str">
        <f>Regression_LSq!A117</f>
        <v>C112</v>
      </c>
      <c r="B113">
        <f>Regression_LSq!B117</f>
        <v>26.16</v>
      </c>
      <c r="C113">
        <f>Regression_LSq!F117</f>
        <v>10.214068558788927</v>
      </c>
      <c r="G113" s="6"/>
    </row>
    <row r="114" spans="1:7" x14ac:dyDescent="0.3">
      <c r="A114" t="str">
        <f>Regression_LSq!A118</f>
        <v>C113</v>
      </c>
      <c r="B114">
        <f>Regression_LSq!B118</f>
        <v>16.920000000000002</v>
      </c>
      <c r="C114">
        <f>Regression_LSq!F118</f>
        <v>6.7927589299449469</v>
      </c>
      <c r="G114" s="6"/>
    </row>
    <row r="115" spans="1:7" x14ac:dyDescent="0.3">
      <c r="A115" t="str">
        <f>Regression_LSq!A119</f>
        <v>C114</v>
      </c>
      <c r="B115">
        <f>Regression_LSq!B119</f>
        <v>19.079999999999998</v>
      </c>
      <c r="C115">
        <f>Regression_LSq!F119</f>
        <v>7.8773742063795176</v>
      </c>
      <c r="G115" s="6"/>
    </row>
    <row r="116" spans="1:7" x14ac:dyDescent="0.3">
      <c r="A116" t="str">
        <f>Regression_LSq!A120</f>
        <v>C115</v>
      </c>
      <c r="B116">
        <f>Regression_LSq!B120</f>
        <v>17.52</v>
      </c>
      <c r="C116">
        <f>Regression_LSq!F120</f>
        <v>8.8770888414418998</v>
      </c>
      <c r="G116" s="6"/>
    </row>
    <row r="117" spans="1:7" x14ac:dyDescent="0.3">
      <c r="A117" t="str">
        <f>Regression_LSq!A121</f>
        <v>C116</v>
      </c>
      <c r="B117">
        <f>Regression_LSq!B121</f>
        <v>15.12</v>
      </c>
      <c r="C117">
        <f>Regression_LSq!F121</f>
        <v>7.7911363855177562</v>
      </c>
      <c r="G117" s="6"/>
    </row>
    <row r="118" spans="1:7" x14ac:dyDescent="0.3">
      <c r="A118" t="str">
        <f>Regression_LSq!A122</f>
        <v>C117</v>
      </c>
      <c r="B118">
        <f>Regression_LSq!B122</f>
        <v>14.64</v>
      </c>
      <c r="C118">
        <f>Regression_LSq!F122</f>
        <v>6.3627977428011189</v>
      </c>
      <c r="G118" s="6"/>
    </row>
    <row r="119" spans="1:7" x14ac:dyDescent="0.3">
      <c r="A119" t="str">
        <f>Regression_LSq!A123</f>
        <v>C118</v>
      </c>
      <c r="B119">
        <f>Regression_LSq!B123</f>
        <v>11.28</v>
      </c>
      <c r="C119">
        <f>Regression_LSq!F123</f>
        <v>4.000040899440954</v>
      </c>
      <c r="G119" s="6"/>
    </row>
    <row r="120" spans="1:7" x14ac:dyDescent="0.3">
      <c r="A120" t="str">
        <f>Regression_LSq!A124</f>
        <v>C119</v>
      </c>
      <c r="B120">
        <f>Regression_LSq!B124</f>
        <v>19.079999999999998</v>
      </c>
      <c r="C120">
        <f>Regression_LSq!F124</f>
        <v>8.9367692995339194</v>
      </c>
      <c r="G120" s="6"/>
    </row>
    <row r="121" spans="1:7" x14ac:dyDescent="0.3">
      <c r="A121" t="str">
        <f>Regression_LSq!A125</f>
        <v>C120</v>
      </c>
      <c r="B121">
        <f>Regression_LSq!B125</f>
        <v>7.92</v>
      </c>
      <c r="C121">
        <f>Regression_LSq!F125</f>
        <v>4.7991950693279009</v>
      </c>
      <c r="G121" s="6"/>
    </row>
    <row r="122" spans="1:7" x14ac:dyDescent="0.3">
      <c r="A122" t="str">
        <f>Regression_LSq!A126</f>
        <v>C121</v>
      </c>
      <c r="B122">
        <f>Regression_LSq!B126</f>
        <v>18.600000000000001</v>
      </c>
      <c r="C122">
        <f>Regression_LSq!F126</f>
        <v>7.8439679125644028</v>
      </c>
      <c r="G122" s="6"/>
    </row>
    <row r="123" spans="1:7" x14ac:dyDescent="0.3">
      <c r="A123" t="str">
        <f>Regression_LSq!A127</f>
        <v>C122</v>
      </c>
      <c r="B123">
        <f>Regression_LSq!B127</f>
        <v>8.4</v>
      </c>
      <c r="C123">
        <f>Regression_LSq!F127</f>
        <v>5.6154883665436497</v>
      </c>
      <c r="G123" s="6"/>
    </row>
    <row r="124" spans="1:7" x14ac:dyDescent="0.3">
      <c r="A124" t="str">
        <f>Regression_LSq!A128</f>
        <v>C123</v>
      </c>
      <c r="B124">
        <f>Regression_LSq!B128</f>
        <v>13.92</v>
      </c>
      <c r="C124">
        <f>Regression_LSq!F128</f>
        <v>6.2738572487701703</v>
      </c>
      <c r="G124" s="6"/>
    </row>
    <row r="125" spans="1:7" x14ac:dyDescent="0.3">
      <c r="A125" t="str">
        <f>Regression_LSq!A129</f>
        <v>C124</v>
      </c>
      <c r="B125">
        <f>Regression_LSq!B129</f>
        <v>18.239999999999998</v>
      </c>
      <c r="C125">
        <f>Regression_LSq!F129</f>
        <v>8.0833567166954712</v>
      </c>
      <c r="G125" s="6"/>
    </row>
    <row r="126" spans="1:7" x14ac:dyDescent="0.3">
      <c r="A126" t="str">
        <f>Regression_LSq!A130</f>
        <v>C125</v>
      </c>
      <c r="B126">
        <f>Regression_LSq!B130</f>
        <v>23.64</v>
      </c>
      <c r="C126">
        <f>Regression_LSq!F130</f>
        <v>9.9049074164817821</v>
      </c>
      <c r="G126" s="6"/>
    </row>
    <row r="127" spans="1:7" x14ac:dyDescent="0.3">
      <c r="A127" t="str">
        <f>Regression_LSq!A131</f>
        <v>C126</v>
      </c>
      <c r="B127">
        <f>Regression_LSq!B131</f>
        <v>12.72</v>
      </c>
      <c r="C127">
        <f>Regression_LSq!F131</f>
        <v>5.3698128808089409</v>
      </c>
      <c r="G127" s="6"/>
    </row>
    <row r="128" spans="1:7" x14ac:dyDescent="0.3">
      <c r="A128" t="str">
        <f>Regression_LSq!A132</f>
        <v>C127</v>
      </c>
      <c r="B128">
        <f>Regression_LSq!B132</f>
        <v>7.92</v>
      </c>
      <c r="C128">
        <f>Regression_LSq!F132</f>
        <v>7.2102038799986001</v>
      </c>
      <c r="G128" s="6"/>
    </row>
    <row r="129" spans="1:7" x14ac:dyDescent="0.3">
      <c r="A129" t="str">
        <f>Regression_LSq!A133</f>
        <v>C128</v>
      </c>
      <c r="B129">
        <f>Regression_LSq!B133</f>
        <v>10.56</v>
      </c>
      <c r="C129">
        <f>Regression_LSq!F133</f>
        <v>3.9240045048122969</v>
      </c>
      <c r="G129" s="6"/>
    </row>
    <row r="130" spans="1:7" x14ac:dyDescent="0.3">
      <c r="A130" t="str">
        <f>Regression_LSq!A134</f>
        <v>C129</v>
      </c>
      <c r="B130">
        <f>Regression_LSq!B134</f>
        <v>29.64</v>
      </c>
      <c r="C130">
        <f>Regression_LSq!F134</f>
        <v>10.853690308789233</v>
      </c>
      <c r="G130" s="6"/>
    </row>
    <row r="131" spans="1:7" x14ac:dyDescent="0.3">
      <c r="A131" t="str">
        <f>Regression_LSq!A135</f>
        <v>C130</v>
      </c>
      <c r="B131">
        <f>Regression_LSq!B135</f>
        <v>11.64</v>
      </c>
      <c r="C131">
        <f>Regression_LSq!F135</f>
        <v>5.1466655959535368</v>
      </c>
      <c r="G131" s="6"/>
    </row>
    <row r="132" spans="1:7" x14ac:dyDescent="0.3">
      <c r="A132" t="str">
        <f>Regression_LSq!A136</f>
        <v>C131</v>
      </c>
      <c r="B132">
        <f>Regression_LSq!B136</f>
        <v>1.92</v>
      </c>
      <c r="C132">
        <f>Regression_LSq!F136</f>
        <v>6.8149167146012877</v>
      </c>
      <c r="G132" s="6"/>
    </row>
    <row r="133" spans="1:7" x14ac:dyDescent="0.3">
      <c r="A133" t="str">
        <f>Regression_LSq!A137</f>
        <v>C132</v>
      </c>
      <c r="B133">
        <f>Regression_LSq!B137</f>
        <v>15.24</v>
      </c>
      <c r="C133">
        <f>Regression_LSq!F137</f>
        <v>7.1509133697922902</v>
      </c>
      <c r="G133" s="6"/>
    </row>
    <row r="134" spans="1:7" x14ac:dyDescent="0.3">
      <c r="A134" t="str">
        <f>Regression_LSq!A138</f>
        <v>C133</v>
      </c>
      <c r="B134">
        <f>Regression_LSq!B138</f>
        <v>6.84</v>
      </c>
      <c r="C134">
        <f>Regression_LSq!F138</f>
        <v>5.6056738540176676</v>
      </c>
      <c r="G134" s="6"/>
    </row>
    <row r="135" spans="1:7" x14ac:dyDescent="0.3">
      <c r="A135" t="str">
        <f>Regression_LSq!A139</f>
        <v>C134</v>
      </c>
      <c r="B135">
        <f>Regression_LSq!B139</f>
        <v>23.52</v>
      </c>
      <c r="C135">
        <f>Regression_LSq!F139</f>
        <v>9.6350135919897628</v>
      </c>
      <c r="G135" s="6"/>
    </row>
    <row r="136" spans="1:7" x14ac:dyDescent="0.3">
      <c r="A136" t="str">
        <f>Regression_LSq!A140</f>
        <v>C135</v>
      </c>
      <c r="B136">
        <f>Regression_LSq!B140</f>
        <v>12.96</v>
      </c>
      <c r="C136">
        <f>Regression_LSq!F140</f>
        <v>7.725282620352508</v>
      </c>
      <c r="G136" s="6"/>
    </row>
    <row r="137" spans="1:7" x14ac:dyDescent="0.3">
      <c r="A137" t="str">
        <f>Regression_LSq!A141</f>
        <v>C136</v>
      </c>
      <c r="B137">
        <f>Regression_LSq!B141</f>
        <v>13.92</v>
      </c>
      <c r="C137">
        <f>Regression_LSq!F141</f>
        <v>8.2445340480967175</v>
      </c>
      <c r="G137" s="6"/>
    </row>
    <row r="138" spans="1:7" x14ac:dyDescent="0.3">
      <c r="A138" t="str">
        <f>Regression_LSq!A142</f>
        <v>C137</v>
      </c>
      <c r="B138">
        <f>Regression_LSq!B142</f>
        <v>11.4</v>
      </c>
      <c r="C138">
        <f>Regression_LSq!F142</f>
        <v>7.1140639261098961</v>
      </c>
      <c r="G138" s="6"/>
    </row>
    <row r="139" spans="1:7" x14ac:dyDescent="0.3">
      <c r="A139" t="str">
        <f>Regression_LSq!A143</f>
        <v>C138</v>
      </c>
      <c r="B139">
        <f>Regression_LSq!B143</f>
        <v>24.96</v>
      </c>
      <c r="C139">
        <f>Regression_LSq!F143</f>
        <v>10.062689917760245</v>
      </c>
      <c r="G139" s="6"/>
    </row>
    <row r="140" spans="1:7" x14ac:dyDescent="0.3">
      <c r="A140" t="str">
        <f>Regression_LSq!A144</f>
        <v>C139</v>
      </c>
      <c r="B140">
        <f>Regression_LSq!B144</f>
        <v>11.52</v>
      </c>
      <c r="C140">
        <f>Regression_LSq!F144</f>
        <v>6.1270664164903597</v>
      </c>
      <c r="G140" s="6"/>
    </row>
    <row r="141" spans="1:7" x14ac:dyDescent="0.3">
      <c r="A141" t="str">
        <f>Regression_LSq!A145</f>
        <v>C140</v>
      </c>
      <c r="B141">
        <f>Regression_LSq!B145</f>
        <v>24.84</v>
      </c>
      <c r="C141">
        <f>Regression_LSq!F145</f>
        <v>9.8171481796312641</v>
      </c>
      <c r="G141" s="6"/>
    </row>
    <row r="142" spans="1:7" x14ac:dyDescent="0.3">
      <c r="A142" t="str">
        <f>Regression_LSq!A146</f>
        <v>C141</v>
      </c>
      <c r="B142">
        <f>Regression_LSq!B146</f>
        <v>13.08</v>
      </c>
      <c r="C142">
        <f>Regression_LSq!F146</f>
        <v>5.5887589390608046</v>
      </c>
      <c r="G142" s="6"/>
    </row>
    <row r="143" spans="1:7" x14ac:dyDescent="0.3">
      <c r="A143" t="str">
        <f>Regression_LSq!A147</f>
        <v>C142</v>
      </c>
      <c r="B143">
        <f>Regression_LSq!B147</f>
        <v>23.04</v>
      </c>
      <c r="C143">
        <f>Regression_LSq!F147</f>
        <v>9.7221427514820782</v>
      </c>
      <c r="G143" s="6"/>
    </row>
    <row r="144" spans="1:7" x14ac:dyDescent="0.3">
      <c r="A144" t="str">
        <f>Regression_LSq!A148</f>
        <v>C143</v>
      </c>
      <c r="B144">
        <f>Regression_LSq!B148</f>
        <v>24.12</v>
      </c>
      <c r="C144">
        <f>Regression_LSq!F148</f>
        <v>9.5517027630209164</v>
      </c>
      <c r="G144" s="6"/>
    </row>
    <row r="145" spans="1:7" x14ac:dyDescent="0.3">
      <c r="A145" t="str">
        <f>Regression_LSq!A149</f>
        <v>C144</v>
      </c>
      <c r="B145">
        <f>Regression_LSq!B149</f>
        <v>12.48</v>
      </c>
      <c r="C145">
        <f>Regression_LSq!F149</f>
        <v>5.0713961195298003</v>
      </c>
      <c r="G145" s="6"/>
    </row>
    <row r="146" spans="1:7" x14ac:dyDescent="0.3">
      <c r="A146" t="str">
        <f>Regression_LSq!A150</f>
        <v>C145</v>
      </c>
      <c r="B146">
        <f>Regression_LSq!B150</f>
        <v>13.68</v>
      </c>
      <c r="C146">
        <f>Regression_LSq!F150</f>
        <v>5.9166388880323559</v>
      </c>
      <c r="G146" s="6"/>
    </row>
    <row r="147" spans="1:7" x14ac:dyDescent="0.3">
      <c r="A147" t="str">
        <f>Regression_LSq!A151</f>
        <v>C146</v>
      </c>
      <c r="B147">
        <f>Regression_LSq!B151</f>
        <v>12.36</v>
      </c>
      <c r="C147">
        <f>Regression_LSq!F151</f>
        <v>4.9722897071243271</v>
      </c>
      <c r="G147" s="6"/>
    </row>
    <row r="148" spans="1:7" x14ac:dyDescent="0.3">
      <c r="A148" t="str">
        <f>Regression_LSq!A152</f>
        <v>C147</v>
      </c>
      <c r="B148">
        <f>Regression_LSq!B152</f>
        <v>15.84</v>
      </c>
      <c r="C148">
        <f>Regression_LSq!F152</f>
        <v>6.9416954361626422</v>
      </c>
      <c r="G148" s="6"/>
    </row>
    <row r="149" spans="1:7" x14ac:dyDescent="0.3">
      <c r="A149" t="str">
        <f>Regression_LSq!A153</f>
        <v>C148</v>
      </c>
      <c r="B149">
        <f>Regression_LSq!B153</f>
        <v>30.48</v>
      </c>
      <c r="C149">
        <f>Regression_LSq!F153</f>
        <v>11.538447583027729</v>
      </c>
      <c r="G149" s="6"/>
    </row>
    <row r="150" spans="1:7" x14ac:dyDescent="0.3">
      <c r="A150" t="str">
        <f>Regression_LSq!A154</f>
        <v>C149</v>
      </c>
      <c r="B150">
        <f>Regression_LSq!B154</f>
        <v>13.08</v>
      </c>
      <c r="C150">
        <f>Regression_LSq!F154</f>
        <v>7.4457465018894027</v>
      </c>
      <c r="G150" s="6"/>
    </row>
    <row r="151" spans="1:7" x14ac:dyDescent="0.3">
      <c r="A151" t="str">
        <f>Regression_LSq!A155</f>
        <v>C150</v>
      </c>
      <c r="B151">
        <f>Regression_LSq!B155</f>
        <v>12.12</v>
      </c>
      <c r="C151">
        <f>Regression_LSq!F155</f>
        <v>6.1419989753930668</v>
      </c>
      <c r="G151" s="6"/>
    </row>
    <row r="152" spans="1:7" x14ac:dyDescent="0.3">
      <c r="A152" t="str">
        <f>Regression_LSq!A156</f>
        <v>C151</v>
      </c>
      <c r="B152">
        <f>Regression_LSq!B156</f>
        <v>19.32</v>
      </c>
      <c r="C152">
        <f>Regression_LSq!F156</f>
        <v>8.4386059836192899</v>
      </c>
      <c r="G152" s="6"/>
    </row>
    <row r="153" spans="1:7" x14ac:dyDescent="0.3">
      <c r="A153" t="str">
        <f>Regression_LSq!A157</f>
        <v>C152</v>
      </c>
      <c r="B153">
        <f>Regression_LSq!B157</f>
        <v>13.92</v>
      </c>
      <c r="C153">
        <f>Regression_LSq!F157</f>
        <v>5.7045248956149734</v>
      </c>
      <c r="G153" s="6"/>
    </row>
    <row r="154" spans="1:7" x14ac:dyDescent="0.3">
      <c r="A154" t="str">
        <f>Regression_LSq!A158</f>
        <v>C153</v>
      </c>
      <c r="B154">
        <f>Regression_LSq!B158</f>
        <v>19.920000000000002</v>
      </c>
      <c r="C154">
        <f>Regression_LSq!F158</f>
        <v>8.0114993739531215</v>
      </c>
      <c r="G154" s="6"/>
    </row>
    <row r="155" spans="1:7" x14ac:dyDescent="0.3">
      <c r="A155" t="str">
        <f>Regression_LSq!A159</f>
        <v>C154</v>
      </c>
      <c r="B155">
        <f>Regression_LSq!B159</f>
        <v>22.8</v>
      </c>
      <c r="C155">
        <f>Regression_LSq!F159</f>
        <v>9.5098557582668484</v>
      </c>
      <c r="G155" s="6"/>
    </row>
    <row r="156" spans="1:7" x14ac:dyDescent="0.3">
      <c r="A156" t="str">
        <f>Regression_LSq!A160</f>
        <v>C155</v>
      </c>
      <c r="B156">
        <f>Regression_LSq!B160</f>
        <v>18.72</v>
      </c>
      <c r="C156">
        <f>Regression_LSq!F160</f>
        <v>7.6070142268754593</v>
      </c>
      <c r="G156" s="6"/>
    </row>
    <row r="157" spans="1:7" x14ac:dyDescent="0.3">
      <c r="A157" t="str">
        <f>Regression_LSq!A161</f>
        <v>C156</v>
      </c>
      <c r="B157">
        <f>Regression_LSq!B161</f>
        <v>3.84</v>
      </c>
      <c r="C157">
        <f>Regression_LSq!F161</f>
        <v>3.9887521769593732</v>
      </c>
      <c r="G157" s="6"/>
    </row>
    <row r="158" spans="1:7" x14ac:dyDescent="0.3">
      <c r="A158" t="str">
        <f>Regression_LSq!A162</f>
        <v>C157</v>
      </c>
      <c r="B158">
        <f>Regression_LSq!B162</f>
        <v>18.36</v>
      </c>
      <c r="C158">
        <f>Regression_LSq!F162</f>
        <v>8.9046715037586246</v>
      </c>
      <c r="G158" s="6"/>
    </row>
    <row r="159" spans="1:7" x14ac:dyDescent="0.3">
      <c r="A159" t="str">
        <f>Regression_LSq!A163</f>
        <v>C158</v>
      </c>
      <c r="B159">
        <f>Regression_LSq!B163</f>
        <v>12.12</v>
      </c>
      <c r="C159">
        <f>Regression_LSq!F163</f>
        <v>5.1800619816774116</v>
      </c>
      <c r="G159" s="6"/>
    </row>
    <row r="160" spans="1:7" x14ac:dyDescent="0.3">
      <c r="A160" t="str">
        <f>Regression_LSq!A164</f>
        <v>C159</v>
      </c>
      <c r="B160">
        <f>Regression_LSq!B164</f>
        <v>8.76</v>
      </c>
      <c r="C160">
        <f>Regression_LSq!F164</f>
        <v>7.0152589880989566</v>
      </c>
      <c r="G160" s="6"/>
    </row>
    <row r="161" spans="1:7" x14ac:dyDescent="0.3">
      <c r="A161" t="str">
        <f>Regression_LSq!A165</f>
        <v>C160</v>
      </c>
      <c r="B161">
        <f>Regression_LSq!B165</f>
        <v>15.48</v>
      </c>
      <c r="C161">
        <f>Regression_LSq!F165</f>
        <v>6.7514447111267151</v>
      </c>
      <c r="G161" s="6"/>
    </row>
    <row r="162" spans="1:7" x14ac:dyDescent="0.3">
      <c r="A162" t="str">
        <f>Regression_LSq!A166</f>
        <v>C161</v>
      </c>
      <c r="B162">
        <f>Regression_LSq!B166</f>
        <v>17.28</v>
      </c>
      <c r="C162">
        <f>Regression_LSq!F166</f>
        <v>7.2685381629031571</v>
      </c>
      <c r="G162" s="6"/>
    </row>
    <row r="163" spans="1:7" x14ac:dyDescent="0.3">
      <c r="A163" t="str">
        <f>Regression_LSq!A167</f>
        <v>C162</v>
      </c>
      <c r="B163">
        <f>Regression_LSq!B167</f>
        <v>15.96</v>
      </c>
      <c r="C163">
        <f>Regression_LSq!F167</f>
        <v>7.9939854690658727</v>
      </c>
      <c r="G163" s="6"/>
    </row>
    <row r="164" spans="1:7" x14ac:dyDescent="0.3">
      <c r="A164" t="str">
        <f>Regression_LSq!A168</f>
        <v>C163</v>
      </c>
      <c r="B164">
        <f>Regression_LSq!B168</f>
        <v>17.88</v>
      </c>
      <c r="C164">
        <f>Regression_LSq!F168</f>
        <v>7.4507341547626149</v>
      </c>
      <c r="G164" s="6"/>
    </row>
    <row r="165" spans="1:7" x14ac:dyDescent="0.3">
      <c r="A165" t="str">
        <f>Regression_LSq!A169</f>
        <v>C164</v>
      </c>
      <c r="B165">
        <f>Regression_LSq!B169</f>
        <v>21.6</v>
      </c>
      <c r="C165">
        <f>Regression_LSq!F169</f>
        <v>8.8394866067309721</v>
      </c>
      <c r="G165" s="6"/>
    </row>
    <row r="166" spans="1:7" x14ac:dyDescent="0.3">
      <c r="A166" t="str">
        <f>Regression_LSq!A170</f>
        <v>C165</v>
      </c>
      <c r="B166">
        <f>Regression_LSq!B170</f>
        <v>14.28</v>
      </c>
      <c r="C166">
        <f>Regression_LSq!F170</f>
        <v>5.9137703134681932</v>
      </c>
      <c r="G166" s="6"/>
    </row>
    <row r="167" spans="1:7" x14ac:dyDescent="0.3">
      <c r="A167" t="str">
        <f>Regression_LSq!A171</f>
        <v>C166</v>
      </c>
      <c r="B167">
        <f>Regression_LSq!B171</f>
        <v>14.28</v>
      </c>
      <c r="C167">
        <f>Regression_LSq!F171</f>
        <v>7.1285587268838801</v>
      </c>
      <c r="G167" s="6"/>
    </row>
    <row r="168" spans="1:7" x14ac:dyDescent="0.3">
      <c r="A168" t="str">
        <f>Regression_LSq!A172</f>
        <v>C167</v>
      </c>
      <c r="B168">
        <f>Regression_LSq!B172</f>
        <v>9.6</v>
      </c>
      <c r="C168">
        <f>Regression_LSq!F172</f>
        <v>6.9691069822778555</v>
      </c>
      <c r="G168" s="6"/>
    </row>
    <row r="169" spans="1:7" x14ac:dyDescent="0.3">
      <c r="A169" t="str">
        <f>Regression_LSq!A173</f>
        <v>C168</v>
      </c>
      <c r="B169">
        <f>Regression_LSq!B173</f>
        <v>14.64</v>
      </c>
      <c r="C169">
        <f>Regression_LSq!F173</f>
        <v>6.3466437845903947</v>
      </c>
      <c r="G169" s="6"/>
    </row>
    <row r="170" spans="1:7" x14ac:dyDescent="0.3">
      <c r="A170" t="str">
        <f>Regression_LSq!A174</f>
        <v>C169</v>
      </c>
      <c r="B170">
        <f>Regression_LSq!B174</f>
        <v>20.52</v>
      </c>
      <c r="C170">
        <f>Regression_LSq!F174</f>
        <v>8.6741259450018404</v>
      </c>
      <c r="G170" s="6"/>
    </row>
    <row r="171" spans="1:7" x14ac:dyDescent="0.3">
      <c r="A171" t="str">
        <f>Regression_LSq!A175</f>
        <v>C170</v>
      </c>
      <c r="B171">
        <f>Regression_LSq!B175</f>
        <v>18</v>
      </c>
      <c r="C171">
        <f>Regression_LSq!F175</f>
        <v>7.8874384718093893</v>
      </c>
      <c r="G171" s="6"/>
    </row>
    <row r="172" spans="1:7" x14ac:dyDescent="0.3">
      <c r="A172" t="str">
        <f>Regression_LSq!A176</f>
        <v>C171</v>
      </c>
      <c r="B172">
        <f>Regression_LSq!B176</f>
        <v>10.08</v>
      </c>
      <c r="C172">
        <f>Regression_LSq!F176</f>
        <v>4.7537866100018151</v>
      </c>
      <c r="G172" s="6"/>
    </row>
    <row r="173" spans="1:7" x14ac:dyDescent="0.3">
      <c r="A173" t="str">
        <f>Regression_LSq!A177</f>
        <v>C172</v>
      </c>
      <c r="B173">
        <f>Regression_LSq!B177</f>
        <v>17.399999999999999</v>
      </c>
      <c r="C173">
        <f>Regression_LSq!F177</f>
        <v>7.5849358613045528</v>
      </c>
      <c r="G173" s="6"/>
    </row>
    <row r="174" spans="1:7" x14ac:dyDescent="0.3">
      <c r="A174" t="str">
        <f>Regression_LSq!A178</f>
        <v>C173</v>
      </c>
      <c r="B174">
        <f>Regression_LSq!B178</f>
        <v>9.1199999999999992</v>
      </c>
      <c r="C174">
        <f>Regression_LSq!F178</f>
        <v>5.1729389423033876</v>
      </c>
      <c r="G174" s="6"/>
    </row>
    <row r="175" spans="1:7" x14ac:dyDescent="0.3">
      <c r="A175" t="str">
        <f>Regression_LSq!A179</f>
        <v>C174</v>
      </c>
      <c r="B175">
        <f>Regression_LSq!B179</f>
        <v>14.04</v>
      </c>
      <c r="C175">
        <f>Regression_LSq!F179</f>
        <v>5.9349933582770777</v>
      </c>
      <c r="G175" s="6"/>
    </row>
    <row r="176" spans="1:7" x14ac:dyDescent="0.3">
      <c r="A176" t="str">
        <f>Regression_LSq!A180</f>
        <v>C175</v>
      </c>
      <c r="B176">
        <f>Regression_LSq!B180</f>
        <v>13.8</v>
      </c>
      <c r="C176">
        <f>Regression_LSq!F180</f>
        <v>6.3309850776378909</v>
      </c>
      <c r="G176" s="6"/>
    </row>
    <row r="177" spans="1:7" x14ac:dyDescent="0.3">
      <c r="A177" t="str">
        <f>Regression_LSq!A181</f>
        <v>C176</v>
      </c>
      <c r="B177">
        <f>Regression_LSq!B181</f>
        <v>32.4</v>
      </c>
      <c r="C177">
        <f>Regression_LSq!F181</f>
        <v>11.986880478545139</v>
      </c>
      <c r="G177" s="6"/>
    </row>
    <row r="178" spans="1:7" x14ac:dyDescent="0.3">
      <c r="A178" t="str">
        <f>Regression_LSq!A182</f>
        <v>C177</v>
      </c>
      <c r="B178">
        <f>Regression_LSq!B182</f>
        <v>24.24</v>
      </c>
      <c r="C178">
        <f>Regression_LSq!F182</f>
        <v>9.49079157830068</v>
      </c>
      <c r="G178" s="6"/>
    </row>
    <row r="179" spans="1:7" x14ac:dyDescent="0.3">
      <c r="A179" t="str">
        <f>Regression_LSq!A183</f>
        <v>C178</v>
      </c>
      <c r="B179">
        <f>Regression_LSq!B183</f>
        <v>14.04</v>
      </c>
      <c r="C179">
        <f>Regression_LSq!F183</f>
        <v>6.2271494172525559</v>
      </c>
      <c r="G179" s="6"/>
    </row>
    <row r="180" spans="1:7" x14ac:dyDescent="0.3">
      <c r="A180" t="str">
        <f>Regression_LSq!A184</f>
        <v>C179</v>
      </c>
      <c r="B180">
        <f>Regression_LSq!B184</f>
        <v>14.16</v>
      </c>
      <c r="C180">
        <f>Regression_LSq!F184</f>
        <v>7.0855509921000035</v>
      </c>
      <c r="G180" s="6"/>
    </row>
    <row r="181" spans="1:7" x14ac:dyDescent="0.3">
      <c r="A181" t="str">
        <f>Regression_LSq!A185</f>
        <v>C180</v>
      </c>
      <c r="B181">
        <f>Regression_LSq!B185</f>
        <v>15.12</v>
      </c>
      <c r="C181">
        <f>Regression_LSq!F185</f>
        <v>6.2319463865168894</v>
      </c>
      <c r="G181" s="6"/>
    </row>
    <row r="182" spans="1:7" x14ac:dyDescent="0.3">
      <c r="A182" t="str">
        <f>Regression_LSq!A186</f>
        <v>C181</v>
      </c>
      <c r="B182">
        <f>Regression_LSq!B186</f>
        <v>12.6</v>
      </c>
      <c r="C182">
        <f>Regression_LSq!F186</f>
        <v>5.2697592368601214</v>
      </c>
      <c r="G182" s="6"/>
    </row>
    <row r="183" spans="1:7" x14ac:dyDescent="0.3">
      <c r="A183" t="str">
        <f>Regression_LSq!A187</f>
        <v>C182</v>
      </c>
      <c r="B183">
        <f>Regression_LSq!B187</f>
        <v>14.64</v>
      </c>
      <c r="C183">
        <f>Regression_LSq!F187</f>
        <v>6.6035207635041626</v>
      </c>
      <c r="G183" s="6"/>
    </row>
    <row r="184" spans="1:7" x14ac:dyDescent="0.3">
      <c r="A184" t="str">
        <f>Regression_LSq!A188</f>
        <v>C183</v>
      </c>
      <c r="B184">
        <f>Regression_LSq!B188</f>
        <v>10.44</v>
      </c>
      <c r="C184">
        <f>Regression_LSq!F188</f>
        <v>4.340468149285801</v>
      </c>
      <c r="G184" s="6"/>
    </row>
    <row r="185" spans="1:7" x14ac:dyDescent="0.3">
      <c r="A185" t="str">
        <f>Regression_LSq!A189</f>
        <v>C184</v>
      </c>
      <c r="B185">
        <f>Regression_LSq!B189</f>
        <v>31.44</v>
      </c>
      <c r="C185">
        <f>Regression_LSq!F189</f>
        <v>11.80073839381388</v>
      </c>
      <c r="G185" s="6"/>
    </row>
    <row r="186" spans="1:7" x14ac:dyDescent="0.3">
      <c r="A186" t="str">
        <f>Regression_LSq!A190</f>
        <v>C185</v>
      </c>
      <c r="B186">
        <f>Regression_LSq!B190</f>
        <v>21.12</v>
      </c>
      <c r="C186">
        <f>Regression_LSq!F190</f>
        <v>8.746925944394027</v>
      </c>
      <c r="G186" s="6"/>
    </row>
    <row r="187" spans="1:7" x14ac:dyDescent="0.3">
      <c r="A187" t="str">
        <f>Regression_LSq!A191</f>
        <v>C186</v>
      </c>
      <c r="B187">
        <f>Regression_LSq!B191</f>
        <v>27.12</v>
      </c>
      <c r="C187">
        <f>Regression_LSq!F191</f>
        <v>10.38180929937834</v>
      </c>
      <c r="G187" s="6"/>
    </row>
    <row r="188" spans="1:7" x14ac:dyDescent="0.3">
      <c r="A188" t="str">
        <f>Regression_LSq!A192</f>
        <v>C187</v>
      </c>
      <c r="B188">
        <f>Regression_LSq!B192</f>
        <v>12.36</v>
      </c>
      <c r="C188">
        <f>Regression_LSq!F192</f>
        <v>5.1346697712004765</v>
      </c>
      <c r="G188" s="6"/>
    </row>
    <row r="189" spans="1:7" x14ac:dyDescent="0.3">
      <c r="A189" t="str">
        <f>Regression_LSq!A193</f>
        <v>C188</v>
      </c>
      <c r="B189">
        <f>Regression_LSq!B193</f>
        <v>20.76</v>
      </c>
      <c r="C189">
        <f>Regression_LSq!F193</f>
        <v>8.5030620066158704</v>
      </c>
      <c r="G189" s="6"/>
    </row>
    <row r="190" spans="1:7" x14ac:dyDescent="0.3">
      <c r="A190" t="str">
        <f>Regression_LSq!A194</f>
        <v>C189</v>
      </c>
      <c r="B190">
        <f>Regression_LSq!B194</f>
        <v>19.079999999999998</v>
      </c>
      <c r="C190">
        <f>Regression_LSq!F194</f>
        <v>8.2238470719905585</v>
      </c>
      <c r="G190" s="6"/>
    </row>
    <row r="191" spans="1:7" x14ac:dyDescent="0.3">
      <c r="A191" t="str">
        <f>Regression_LSq!A195</f>
        <v>C190</v>
      </c>
      <c r="B191">
        <f>Regression_LSq!B195</f>
        <v>8.0399999999999991</v>
      </c>
      <c r="C191">
        <f>Regression_LSq!F195</f>
        <v>4.4020539740765132</v>
      </c>
      <c r="G191" s="6"/>
    </row>
    <row r="192" spans="1:7" x14ac:dyDescent="0.3">
      <c r="A192" t="str">
        <f>Regression_LSq!A196</f>
        <v>C191</v>
      </c>
      <c r="B192">
        <f>Regression_LSq!B196</f>
        <v>12.96</v>
      </c>
      <c r="C192">
        <f>Regression_LSq!F196</f>
        <v>7.495334226426313</v>
      </c>
      <c r="G192" s="6"/>
    </row>
    <row r="193" spans="1:7" x14ac:dyDescent="0.3">
      <c r="A193" t="str">
        <f>Regression_LSq!A197</f>
        <v>C192</v>
      </c>
      <c r="B193">
        <f>Regression_LSq!B197</f>
        <v>11.88</v>
      </c>
      <c r="C193">
        <f>Regression_LSq!F197</f>
        <v>4.9278058187399303</v>
      </c>
      <c r="G193" s="6"/>
    </row>
    <row r="194" spans="1:7" x14ac:dyDescent="0.3">
      <c r="A194" t="str">
        <f>Regression_LSq!A198</f>
        <v>C193</v>
      </c>
      <c r="B194">
        <f>Regression_LSq!B198</f>
        <v>7.08</v>
      </c>
      <c r="C194">
        <f>Regression_LSq!F198</f>
        <v>3.6383083889127268</v>
      </c>
      <c r="G194" s="6"/>
    </row>
    <row r="195" spans="1:7" x14ac:dyDescent="0.3">
      <c r="A195" t="str">
        <f>Regression_LSq!A199</f>
        <v>C194</v>
      </c>
      <c r="B195">
        <f>Regression_LSq!B199</f>
        <v>23.52</v>
      </c>
      <c r="C195">
        <f>Regression_LSq!F199</f>
        <v>9.3824032853231571</v>
      </c>
      <c r="G195" s="6"/>
    </row>
    <row r="196" spans="1:7" x14ac:dyDescent="0.3">
      <c r="A196" t="str">
        <f>Regression_LSq!A200</f>
        <v>C195</v>
      </c>
      <c r="B196">
        <f>Regression_LSq!B200</f>
        <v>20.76</v>
      </c>
      <c r="C196">
        <f>Regression_LSq!F200</f>
        <v>8.5084815273404253</v>
      </c>
      <c r="G196" s="6"/>
    </row>
    <row r="197" spans="1:7" x14ac:dyDescent="0.3">
      <c r="A197" t="str">
        <f>Regression_LSq!A201</f>
        <v>C196</v>
      </c>
      <c r="B197">
        <f>Regression_LSq!B201</f>
        <v>9.1199999999999992</v>
      </c>
      <c r="C197">
        <f>Regression_LSq!F201</f>
        <v>3.7417940537667098</v>
      </c>
      <c r="G197" s="6"/>
    </row>
    <row r="198" spans="1:7" x14ac:dyDescent="0.3">
      <c r="A198" t="str">
        <f>Regression_LSq!A202</f>
        <v>C197</v>
      </c>
      <c r="B198">
        <f>Regression_LSq!B202</f>
        <v>11.64</v>
      </c>
      <c r="C198">
        <f>Regression_LSq!F202</f>
        <v>4.6124714995566629</v>
      </c>
      <c r="G198" s="6"/>
    </row>
    <row r="199" spans="1:7" x14ac:dyDescent="0.3">
      <c r="A199" t="str">
        <f>Regression_LSq!A203</f>
        <v>C198</v>
      </c>
      <c r="B199">
        <f>Regression_LSq!B203</f>
        <v>15.36</v>
      </c>
      <c r="C199">
        <f>Regression_LSq!F203</f>
        <v>6.2256016904349138</v>
      </c>
      <c r="G199" s="6"/>
    </row>
    <row r="200" spans="1:7" x14ac:dyDescent="0.3">
      <c r="A200" t="str">
        <f>Regression_LSq!A204</f>
        <v>C199</v>
      </c>
      <c r="B200">
        <f>Regression_LSq!B204</f>
        <v>30.6</v>
      </c>
      <c r="C200">
        <f>Regression_LSq!F204</f>
        <v>11.593164945096511</v>
      </c>
      <c r="G200" s="6"/>
    </row>
    <row r="201" spans="1:7" x14ac:dyDescent="0.3">
      <c r="A201" t="str">
        <f>Regression_LSq!A205</f>
        <v>C200</v>
      </c>
      <c r="B201">
        <f>Regression_LSq!B205</f>
        <v>16.079999999999998</v>
      </c>
      <c r="C201">
        <f>Regression_LSq!F205</f>
        <v>6.9599043782139907</v>
      </c>
      <c r="G2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UserInterface</vt:lpstr>
      <vt:lpstr>Data</vt:lpstr>
      <vt:lpstr>Regression</vt:lpstr>
      <vt:lpstr>Regression_LSq</vt:lpstr>
      <vt:lpstr>LeastSquares</vt:lpstr>
      <vt:lpstr>Accuracy</vt:lpstr>
      <vt:lpstr>Campaings</vt:lpstr>
      <vt:lpstr>facebook</vt:lpstr>
      <vt:lpstr>newspaper</vt:lpstr>
      <vt:lpstr>sales</vt:lpstr>
      <vt:lpstr>youtube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Kunaal Naik</dc:creator>
  <cp:lastModifiedBy>Kunaal Naik</cp:lastModifiedBy>
  <dcterms:created xsi:type="dcterms:W3CDTF">2022-07-31T05:30:10Z</dcterms:created>
  <dcterms:modified xsi:type="dcterms:W3CDTF">2026-07-28T08:17:53Z</dcterms:modified>
</cp:coreProperties>
</file>