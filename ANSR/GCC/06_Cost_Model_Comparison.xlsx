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54003E5A-1327-415D-B54E-96B9E2F8599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ME" sheetId="1" r:id="rId1"/>
    <sheet name="Assumptions" sheetId="2" r:id="rId2"/>
    <sheet name="HC Ramp" sheetId="3" r:id="rId3"/>
    <sheet name="Core Talent Cost" sheetId="4" r:id="rId4"/>
    <sheet name="Infra &amp; Facilities" sheetId="5" r:id="rId5"/>
    <sheet name="Back-office (Ratios)" sheetId="6" r:id="rId6"/>
    <sheet name="Total Cost Summary" sheetId="7" r:id="rId7"/>
    <sheet name="Scenario Comparison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7" l="1"/>
  <c r="F8" i="7"/>
  <c r="E8" i="7"/>
  <c r="E20" i="5"/>
  <c r="D8" i="7" s="1"/>
  <c r="D20" i="5"/>
  <c r="C8" i="7" s="1"/>
  <c r="H8" i="7" s="1"/>
  <c r="H16" i="5"/>
  <c r="G16" i="5"/>
  <c r="F16" i="5"/>
  <c r="E16" i="5"/>
  <c r="D16" i="5"/>
  <c r="H14" i="5"/>
  <c r="G14" i="5"/>
  <c r="F14" i="5"/>
  <c r="E14" i="5"/>
  <c r="D14" i="5"/>
  <c r="H12" i="5"/>
  <c r="G12" i="5"/>
  <c r="F12" i="5"/>
  <c r="E12" i="5"/>
  <c r="D12" i="5"/>
  <c r="H10" i="5"/>
  <c r="G10" i="5"/>
  <c r="F10" i="5"/>
  <c r="E10" i="5"/>
  <c r="D10" i="5"/>
  <c r="H8" i="5"/>
  <c r="G8" i="5"/>
  <c r="F8" i="5"/>
  <c r="E8" i="5"/>
  <c r="D8" i="5"/>
  <c r="H6" i="5"/>
  <c r="G6" i="5"/>
  <c r="F6" i="5"/>
  <c r="E6" i="5"/>
  <c r="D6" i="5"/>
  <c r="H13" i="4"/>
  <c r="G13" i="4"/>
  <c r="F13" i="4"/>
  <c r="E13" i="4"/>
  <c r="D13" i="4"/>
  <c r="H12" i="4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H6" i="4"/>
  <c r="H14" i="4" s="1"/>
  <c r="G6" i="4"/>
  <c r="G14" i="4" s="1"/>
  <c r="F6" i="4"/>
  <c r="F14" i="4" s="1"/>
  <c r="E6" i="4"/>
  <c r="E14" i="4" s="1"/>
  <c r="D6" i="4"/>
  <c r="D14" i="4" s="1"/>
  <c r="H18" i="3"/>
  <c r="G18" i="3"/>
  <c r="F18" i="3"/>
  <c r="E18" i="3"/>
  <c r="D18" i="3"/>
  <c r="H17" i="3"/>
  <c r="G17" i="3"/>
  <c r="F17" i="3"/>
  <c r="E17" i="3"/>
  <c r="D17" i="3"/>
  <c r="H14" i="3"/>
  <c r="G14" i="3"/>
  <c r="F14" i="3"/>
  <c r="E14" i="3"/>
  <c r="D14" i="3"/>
  <c r="D49" i="2"/>
  <c r="D48" i="2"/>
  <c r="D47" i="2"/>
  <c r="D46" i="2"/>
  <c r="D45" i="2"/>
  <c r="D44" i="2"/>
  <c r="D43" i="2"/>
  <c r="C14" i="7" l="1"/>
  <c r="D10" i="6"/>
  <c r="D18" i="6" s="1"/>
  <c r="D9" i="6"/>
  <c r="D17" i="6" s="1"/>
  <c r="D8" i="6"/>
  <c r="D16" i="6" s="1"/>
  <c r="D7" i="6"/>
  <c r="D15" i="6" s="1"/>
  <c r="D6" i="6"/>
  <c r="D14" i="7"/>
  <c r="E10" i="6"/>
  <c r="E18" i="6" s="1"/>
  <c r="E9" i="6"/>
  <c r="E17" i="6" s="1"/>
  <c r="E8" i="6"/>
  <c r="E16" i="6" s="1"/>
  <c r="E7" i="6"/>
  <c r="E15" i="6" s="1"/>
  <c r="E6" i="6"/>
  <c r="E14" i="7"/>
  <c r="F10" i="6"/>
  <c r="F18" i="6" s="1"/>
  <c r="F9" i="6"/>
  <c r="F17" i="6" s="1"/>
  <c r="F8" i="6"/>
  <c r="F16" i="6" s="1"/>
  <c r="F7" i="6"/>
  <c r="F15" i="6" s="1"/>
  <c r="F6" i="6"/>
  <c r="F14" i="7"/>
  <c r="G10" i="6"/>
  <c r="G18" i="6" s="1"/>
  <c r="G9" i="6"/>
  <c r="G17" i="6" s="1"/>
  <c r="G8" i="6"/>
  <c r="G16" i="6" s="1"/>
  <c r="G7" i="6"/>
  <c r="G15" i="6" s="1"/>
  <c r="G6" i="6"/>
  <c r="G14" i="7"/>
  <c r="H10" i="6"/>
  <c r="H18" i="6" s="1"/>
  <c r="H9" i="6"/>
  <c r="H17" i="6" s="1"/>
  <c r="H8" i="6"/>
  <c r="H16" i="6" s="1"/>
  <c r="H7" i="6"/>
  <c r="H15" i="6" s="1"/>
  <c r="H6" i="6"/>
  <c r="D17" i="5"/>
  <c r="D15" i="5"/>
  <c r="D13" i="5"/>
  <c r="D11" i="5"/>
  <c r="D9" i="5"/>
  <c r="D7" i="5"/>
  <c r="E17" i="5"/>
  <c r="E15" i="5"/>
  <c r="E13" i="5"/>
  <c r="E11" i="5"/>
  <c r="E9" i="5"/>
  <c r="E7" i="5"/>
  <c r="F17" i="5"/>
  <c r="F15" i="5"/>
  <c r="F13" i="5"/>
  <c r="F11" i="5"/>
  <c r="F9" i="5"/>
  <c r="F7" i="5"/>
  <c r="G17" i="5"/>
  <c r="G15" i="5"/>
  <c r="G13" i="5"/>
  <c r="G11" i="5"/>
  <c r="G9" i="5"/>
  <c r="G7" i="5"/>
  <c r="H17" i="5"/>
  <c r="H15" i="5"/>
  <c r="H13" i="5"/>
  <c r="H11" i="5"/>
  <c r="H9" i="5"/>
  <c r="H7" i="5"/>
  <c r="C6" i="7"/>
  <c r="D15" i="4"/>
  <c r="D6" i="7"/>
  <c r="E15" i="4"/>
  <c r="E6" i="7"/>
  <c r="F15" i="4"/>
  <c r="F6" i="7"/>
  <c r="G15" i="4"/>
  <c r="G6" i="7"/>
  <c r="H15" i="4"/>
  <c r="D18" i="5"/>
  <c r="C7" i="7" s="1"/>
  <c r="E18" i="5"/>
  <c r="D7" i="7" s="1"/>
  <c r="F18" i="5"/>
  <c r="E7" i="7" s="1"/>
  <c r="G18" i="5"/>
  <c r="F7" i="7" s="1"/>
  <c r="H18" i="5"/>
  <c r="G7" i="7" s="1"/>
  <c r="H7" i="7" l="1"/>
  <c r="H6" i="7"/>
  <c r="H14" i="6"/>
  <c r="H19" i="6" s="1"/>
  <c r="G9" i="7" s="1"/>
  <c r="H11" i="6"/>
  <c r="G20" i="7"/>
  <c r="G14" i="6"/>
  <c r="G19" i="6" s="1"/>
  <c r="F9" i="7" s="1"/>
  <c r="G11" i="6"/>
  <c r="F20" i="7"/>
  <c r="F14" i="6"/>
  <c r="F19" i="6" s="1"/>
  <c r="E9" i="7" s="1"/>
  <c r="F11" i="6"/>
  <c r="E20" i="7"/>
  <c r="E14" i="6"/>
  <c r="E19" i="6" s="1"/>
  <c r="D9" i="7" s="1"/>
  <c r="E11" i="6"/>
  <c r="D20" i="7"/>
  <c r="D14" i="6"/>
  <c r="D19" i="6" s="1"/>
  <c r="C9" i="7" s="1"/>
  <c r="D11" i="6"/>
  <c r="C20" i="7"/>
  <c r="H20" i="7" l="1"/>
  <c r="H9" i="7"/>
  <c r="C10" i="7"/>
  <c r="D10" i="7"/>
  <c r="D11" i="7" s="1"/>
  <c r="D12" i="7" s="1"/>
  <c r="E10" i="7"/>
  <c r="E11" i="7" s="1"/>
  <c r="E12" i="7" s="1"/>
  <c r="F10" i="7"/>
  <c r="F11" i="7" s="1"/>
  <c r="F12" i="7" s="1"/>
  <c r="G10" i="7"/>
  <c r="G11" i="7" s="1"/>
  <c r="G12" i="7" s="1"/>
  <c r="G21" i="7" l="1"/>
  <c r="G22" i="7" s="1"/>
  <c r="G23" i="7" s="1"/>
  <c r="G15" i="7"/>
  <c r="F21" i="7"/>
  <c r="F22" i="7" s="1"/>
  <c r="F23" i="7" s="1"/>
  <c r="F15" i="7"/>
  <c r="E21" i="7"/>
  <c r="E22" i="7" s="1"/>
  <c r="E23" i="7" s="1"/>
  <c r="E15" i="7"/>
  <c r="D21" i="7"/>
  <c r="D22" i="7" s="1"/>
  <c r="D23" i="7" s="1"/>
  <c r="D15" i="7"/>
  <c r="H10" i="7"/>
  <c r="C11" i="7"/>
  <c r="C12" i="7" l="1"/>
  <c r="H11" i="7"/>
  <c r="C21" i="7" l="1"/>
  <c r="H12" i="7"/>
  <c r="C15" i="7"/>
  <c r="H21" i="7" l="1"/>
  <c r="C22" i="7"/>
  <c r="H22" i="7" l="1"/>
  <c r="H23" i="7" s="1"/>
  <c r="C23" i="7"/>
</calcChain>
</file>

<file path=xl/sharedStrings.xml><?xml version="1.0" encoding="utf-8"?>
<sst xmlns="http://schemas.openxmlformats.org/spreadsheetml/2006/main" count="307" uniqueCount="210">
  <si>
    <t>GCC Cost Model — Marston &amp; Vale (5-year run)</t>
  </si>
  <si>
    <t>Baseline: current UK/IE loaded cost for in-scope roles  |  Scenarios: Bengaluru-only, Hyderabad-only, Pune-only, and Recommended (Blr + Pune)</t>
  </si>
  <si>
    <t>Prepared by</t>
  </si>
  <si>
    <t>Rhea Nathan</t>
  </si>
  <si>
    <t>Version</t>
  </si>
  <si>
    <t>v3.0</t>
  </si>
  <si>
    <t>Last updated</t>
  </si>
  <si>
    <t>05 Oct 2026</t>
  </si>
  <si>
    <t>FX assumption</t>
  </si>
  <si>
    <t>1 GBP = 105 INR  |  1 USD = 83.5 INR</t>
  </si>
  <si>
    <t>Inflation assumption</t>
  </si>
  <si>
    <t>8% India salary inflation p.a.; 3.5% UK; 2% infra</t>
  </si>
  <si>
    <t>Attrition assumption</t>
  </si>
  <si>
    <t>Y1: 18%; Y2: 16%; Y3+: 14% steady-state (retention design assumed)</t>
  </si>
  <si>
    <t>Confidentiality</t>
  </si>
  <si>
    <t>Client Confidential</t>
  </si>
  <si>
    <t>Colour convention</t>
  </si>
  <si>
    <t>Blue text</t>
  </si>
  <si>
    <t>Hardcoded inputs / assumptions the user can change</t>
  </si>
  <si>
    <t>Black text</t>
  </si>
  <si>
    <t>Formulas / calculations</t>
  </si>
  <si>
    <t>Green text</t>
  </si>
  <si>
    <t>Links pulled from other sheets</t>
  </si>
  <si>
    <t>Yellow fill</t>
  </si>
  <si>
    <t>Key assumption — flagged for attention</t>
  </si>
  <si>
    <t>Tab guide</t>
  </si>
  <si>
    <t>Assumptions</t>
  </si>
  <si>
    <t>All key input parameters — inflation, ratios, ramp curves, benefits loads</t>
  </si>
  <si>
    <t>HC Ramp</t>
  </si>
  <si>
    <t>Headcount ramp Y1→Y5 by tower and city</t>
  </si>
  <si>
    <t>Core Talent Cost</t>
  </si>
  <si>
    <t>Fully-loaded talent cost by year and scenario</t>
  </si>
  <si>
    <t>Infra &amp; Facilities</t>
  </si>
  <si>
    <t>Real estate, fit-out, utilities, transport, F&amp;B</t>
  </si>
  <si>
    <t>Back-office (Ratios)</t>
  </si>
  <si>
    <t>Enabling function staffing using x:1 ratios</t>
  </si>
  <si>
    <t>Total Cost Summary</t>
  </si>
  <si>
    <t>5-year cost by scenario + savings vs UK baseline</t>
  </si>
  <si>
    <t>Scenario Comparison</t>
  </si>
  <si>
    <t>Side-by-side scorecard of the 4 scenarios</t>
  </si>
  <si>
    <t>Key assumptions (editable inputs shown in blue)</t>
  </si>
  <si>
    <t>MACRO</t>
  </si>
  <si>
    <t>Parameter</t>
  </si>
  <si>
    <t>Value</t>
  </si>
  <si>
    <t>Unit</t>
  </si>
  <si>
    <t>GBP → INR</t>
  </si>
  <si>
    <t>INR / GBP</t>
  </si>
  <si>
    <t>USD → INR</t>
  </si>
  <si>
    <t>INR / USD</t>
  </si>
  <si>
    <t>India salary inflation</t>
  </si>
  <si>
    <t>% p.a.</t>
  </si>
  <si>
    <t>UK salary inflation</t>
  </si>
  <si>
    <t>Infra inflation</t>
  </si>
  <si>
    <t>COMP LOADS</t>
  </si>
  <si>
    <t>Notes</t>
  </si>
  <si>
    <t>Benefits load</t>
  </si>
  <si>
    <t>medical, insurance, learning, wellness</t>
  </si>
  <si>
    <t>Variable pay (target)</t>
  </si>
  <si>
    <t>% of base</t>
  </si>
  <si>
    <t>Statutory contribution</t>
  </si>
  <si>
    <t>PF, gratuity, LWF</t>
  </si>
  <si>
    <t>Attrition Y1</t>
  </si>
  <si>
    <t>voluntary</t>
  </si>
  <si>
    <t>Attrition Y2</t>
  </si>
  <si>
    <t>Attrition steady-state</t>
  </si>
  <si>
    <t>Y3+</t>
  </si>
  <si>
    <t>Backfill cost premium</t>
  </si>
  <si>
    <t>% of loaded comp</t>
  </si>
  <si>
    <t>BACK-OFFICE RATIOS (Enabler : Core FTE)</t>
  </si>
  <si>
    <t>Function</t>
  </si>
  <si>
    <t>Steady-state (1 per)</t>
  </si>
  <si>
    <t>Ramp Y1 (1 per)</t>
  </si>
  <si>
    <t>Avg loaded cost (INR L)</t>
  </si>
  <si>
    <t>HR Ops (generalist + TA)</t>
  </si>
  <si>
    <t>Finance Ops (AP/GL/Controllership)</t>
  </si>
  <si>
    <t>IT Support / DevEx</t>
  </si>
  <si>
    <t>Facilities / Admin (managed)</t>
  </si>
  <si>
    <t>Site Leadership + PMO</t>
  </si>
  <si>
    <t>INFRA &amp; FACILITIES</t>
  </si>
  <si>
    <t>Bengaluru</t>
  </si>
  <si>
    <t>Hyderabad</t>
  </si>
  <si>
    <t>Pune</t>
  </si>
  <si>
    <t>Rent (Grade A, warm shell)</t>
  </si>
  <si>
    <t>INR / sqft / mo</t>
  </si>
  <si>
    <t>Sqft per FTE</t>
  </si>
  <si>
    <t>sqft</t>
  </si>
  <si>
    <t>Fit-out capex (per sqft)</t>
  </si>
  <si>
    <t>INR</t>
  </si>
  <si>
    <t>Fit-out amortization</t>
  </si>
  <si>
    <t>years</t>
  </si>
  <si>
    <t>Utilities per FTE / mo</t>
  </si>
  <si>
    <t>Transport per FTE / mo</t>
  </si>
  <si>
    <t>F&amp;B / cafeteria per FTE / mo</t>
  </si>
  <si>
    <t>Security + insurance per FTE / mo</t>
  </si>
  <si>
    <t>UK / IE BASELINE (like-for-like loaded cost per FTE)</t>
  </si>
  <si>
    <t>Avg loaded cost (GBP)</t>
  </si>
  <si>
    <t>In INR Lakh</t>
  </si>
  <si>
    <t>Product / Platform Eng.</t>
  </si>
  <si>
    <t>Data / ML / Analytics</t>
  </si>
  <si>
    <t>Cloud &amp; Cybersecurity</t>
  </si>
  <si>
    <t>Finance Ops</t>
  </si>
  <si>
    <t>HR Ops</t>
  </si>
  <si>
    <t>Customer Support</t>
  </si>
  <si>
    <t>Headcount ramp — Recommended scenario (Bengaluru + Pune)</t>
  </si>
  <si>
    <t>Same total headcount applied to single-city scenarios; only the city allocation changes.</t>
  </si>
  <si>
    <t>Tower</t>
  </si>
  <si>
    <t>City (recommended)</t>
  </si>
  <si>
    <t>Year 1</t>
  </si>
  <si>
    <t>Year 2</t>
  </si>
  <si>
    <t>Year 3</t>
  </si>
  <si>
    <t>Year 4</t>
  </si>
  <si>
    <t>Year 5</t>
  </si>
  <si>
    <t>HR Ops (site)</t>
  </si>
  <si>
    <t>HR Ops (CoE)</t>
  </si>
  <si>
    <t>TOTAL</t>
  </si>
  <si>
    <t>By city</t>
  </si>
  <si>
    <t>Core talent cost — INR Crore per year, by tower</t>
  </si>
  <si>
    <t>Cost = HC × loaded cost per FTE × (1 + inflation)^(year-1). Loaded cost per FTE is a blended L1-L4 weighted average from Salary Benchmark.</t>
  </si>
  <si>
    <t>Loaded cost / FTE (INR L, Y1)</t>
  </si>
  <si>
    <t>TOTAL Core Talent (Crore)</t>
  </si>
  <si>
    <t>In GBP million (÷ 10.5)</t>
  </si>
  <si>
    <t>Infrastructure &amp; facilities cost (INR Crore per year)</t>
  </si>
  <si>
    <t>Recommended scenario — Bengaluru primary + Pune spoke. Amortization straight-line over 7 years.</t>
  </si>
  <si>
    <t>Cost head</t>
  </si>
  <si>
    <t>City</t>
  </si>
  <si>
    <t>Rent</t>
  </si>
  <si>
    <t>Utilities</t>
  </si>
  <si>
    <t>Transport</t>
  </si>
  <si>
    <t>F&amp;B</t>
  </si>
  <si>
    <t>Security+Ins</t>
  </si>
  <si>
    <t>Fit-out amort</t>
  </si>
  <si>
    <t>TOTAL Infra (Crore)</t>
  </si>
  <si>
    <t>One-time Y1 setup (capex)</t>
  </si>
  <si>
    <t>Back-office headcount &amp; cost (using x:1 ratios)</t>
  </si>
  <si>
    <t>Ramp-up (Y1) ratios are hotter than steady-state to build plumbing before core teams arrive.</t>
  </si>
  <si>
    <t>Enabling function</t>
  </si>
  <si>
    <t>Ratio used</t>
  </si>
  <si>
    <t>HR Ops (generalist + TA) HC</t>
  </si>
  <si>
    <t>1 : 25 (SS)</t>
  </si>
  <si>
    <t>Finance Ops (AP/GL/Controllership) HC</t>
  </si>
  <si>
    <t>IT Support / DevEx HC</t>
  </si>
  <si>
    <t>Facilities / Admin (managed) HC</t>
  </si>
  <si>
    <t>Site Leadership + PMO HC</t>
  </si>
  <si>
    <t>TOTAL Enabling HC</t>
  </si>
  <si>
    <t>COST (INR Crore)</t>
  </si>
  <si>
    <t>HR Ops (generalist + TA) cost</t>
  </si>
  <si>
    <t>Finance Ops (AP/GL/Controllership) cost</t>
  </si>
  <si>
    <t>IT Support / DevEx cost</t>
  </si>
  <si>
    <t>Facilities / Admin (managed) cost</t>
  </si>
  <si>
    <t>Site Leadership + PMO cost</t>
  </si>
  <si>
    <t>TOTAL Back-office cost (Crore)</t>
  </si>
  <si>
    <t>Total 5-year GCC cost — Recommended scenario (Bengaluru + Pune)</t>
  </si>
  <si>
    <t>All figures INR Crore. GBP conversion at 1 GBP = 105 INR.</t>
  </si>
  <si>
    <t>5-yr Total</t>
  </si>
  <si>
    <t>Infra &amp; Facilities (opex)</t>
  </si>
  <si>
    <t>Infra Setup (one-time)</t>
  </si>
  <si>
    <t>Back-office (Enabling)</t>
  </si>
  <si>
    <t>Governance &amp; Compliance (5%)</t>
  </si>
  <si>
    <t>TOTAL GCC Cost (Crore)</t>
  </si>
  <si>
    <t>TOTAL in GBP million</t>
  </si>
  <si>
    <t>Total FTE (Core)</t>
  </si>
  <si>
    <t>Fully-loaded cost / FTE (GBP)</t>
  </si>
  <si>
    <t>UK / IE BASELINE COMPARISON</t>
  </si>
  <si>
    <t>Metric</t>
  </si>
  <si>
    <t>5-yr</t>
  </si>
  <si>
    <t>Equivalent UK cost / FTE (GBP)</t>
  </si>
  <si>
    <t>UK equivalent total (GBP mn)</t>
  </si>
  <si>
    <t>GCC cost (GBP mn)</t>
  </si>
  <si>
    <t>SAVINGS (GBP mn)</t>
  </si>
  <si>
    <t>Savings %</t>
  </si>
  <si>
    <t>Scenario comparison — 4 city configurations</t>
  </si>
  <si>
    <t>Cost figures reflect 5-year steady-state Year 3 run-rate. Numbers directional — key deltas explained in Synthesis Notes.</t>
  </si>
  <si>
    <t>Dimension</t>
  </si>
  <si>
    <t>Bengaluru only</t>
  </si>
  <si>
    <t>Hyderabad only</t>
  </si>
  <si>
    <t>Pune only</t>
  </si>
  <si>
    <t>Blr + Pune (Rec.)</t>
  </si>
  <si>
    <t>Winner</t>
  </si>
  <si>
    <t>Y3 Total cost (INR Crore)</t>
  </si>
  <si>
    <t>Hyd</t>
  </si>
  <si>
    <t>Y3 Savings vs UK (%)</t>
  </si>
  <si>
    <t>39%</t>
  </si>
  <si>
    <t>44%</t>
  </si>
  <si>
    <t>43%</t>
  </si>
  <si>
    <t>41%</t>
  </si>
  <si>
    <t>5-yr NPV cost (Crore)</t>
  </si>
  <si>
    <t>Talent quality (index)</t>
  </si>
  <si>
    <t>Blr</t>
  </si>
  <si>
    <t>Leadership pool (score /5)</t>
  </si>
  <si>
    <t>Blr / Rec</t>
  </si>
  <si>
    <t>Attrition Y3 (%)</t>
  </si>
  <si>
    <t>14.2%</t>
  </si>
  <si>
    <t>16.1%</t>
  </si>
  <si>
    <t>12.4%</t>
  </si>
  <si>
    <t>13.6%</t>
  </si>
  <si>
    <t>Rec</t>
  </si>
  <si>
    <t>Speed to boots-on-ground (mo)</t>
  </si>
  <si>
    <t>Execution risk (Y1)</t>
  </si>
  <si>
    <t>Med</t>
  </si>
  <si>
    <t>Med (single-city Y1)</t>
  </si>
  <si>
    <t>=</t>
  </si>
  <si>
    <t>Board-narrative fit</t>
  </si>
  <si>
    <t>Strong</t>
  </si>
  <si>
    <t>Weaker</t>
  </si>
  <si>
    <t>Strongest</t>
  </si>
  <si>
    <t>Scalability to 1,500 FTE by Y7</t>
  </si>
  <si>
    <t>Yes</t>
  </si>
  <si>
    <t>Tight</t>
  </si>
  <si>
    <t>ANSR Recommendation: Bengaluru primary hub (Y1) + Pune spoke (Y2+) for Finance Ops &amp; HR CoE</t>
  </si>
  <si>
    <t>Hyderabad shows the lowest headline cost, but the delta over the recommended scenario is only ~3% NPV — which is much smaller than the capability and leadership-pool trade-off. Bengaluru is the deepest Tech/Data market and the only city with a credible MD-grade leadership pool. Splitting Finance Ops and HR Ops CoE to Pune from Year 2 captures ~90% of the Pune cost advantage without paying the Year-1 execution tax of a two-city build. On a risk-adjusted 5-year view, the recommended scenario wins.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</si>
</sst>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21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i/>
      <sz val="11"/>
      <color rgb="FF80808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4"/>
      <color rgb="FF1F3864"/>
      <name val="Arial"/>
      <charset val="1"/>
    </font>
    <font>
      <sz val="10"/>
      <color rgb="FF000000"/>
      <name val="Arial"/>
      <charset val="1"/>
    </font>
    <font>
      <i/>
      <sz val="10"/>
      <color rgb="FF80808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i/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sz val="12"/>
      <color rgb="FF1F3864"/>
      <name val="Arial"/>
      <charset val="1"/>
    </font>
    <font>
      <b/>
      <sz val="12"/>
      <color rgb="FFFFFFFF"/>
      <name val="Arial"/>
      <charset val="1"/>
    </font>
    <font>
      <i/>
      <sz val="10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2F3"/>
        <bgColor rgb="FFC6E0B4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0" fillId="0" borderId="0" xfId="0" applyFont="1" applyAlignment="1">
      <alignment horizontal="left" vertical="top" wrapText="1"/>
    </xf>
    <xf numFmtId="0" fontId="19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4" fillId="4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14" fillId="4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16" fillId="3" borderId="1" xfId="0" applyNumberFormat="1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showGridLines="0" tabSelected="1" zoomScaleNormal="100" workbookViewId="0">
      <selection activeCell="C7" sqref="C7:H7"/>
    </sheetView>
  </sheetViews>
  <sheetFormatPr defaultColWidth="8.7109375" defaultRowHeight="15"/>
  <cols>
    <col min="1" max="1" width="2" customWidth="1"/>
    <col min="2" max="2" width="18" customWidth="1"/>
    <col min="3" max="3" width="30" customWidth="1"/>
    <col min="4" max="8" width="16" customWidth="1"/>
  </cols>
  <sheetData>
    <row r="2" spans="2:8">
      <c r="B2" s="4" t="s">
        <v>0</v>
      </c>
      <c r="C2" s="4"/>
      <c r="D2" s="4"/>
      <c r="E2" s="4"/>
      <c r="F2" s="4"/>
      <c r="G2" s="4"/>
      <c r="H2" s="4"/>
    </row>
    <row r="3" spans="2:8">
      <c r="B3" s="4"/>
      <c r="C3" s="4"/>
      <c r="D3" s="4"/>
      <c r="E3" s="4"/>
      <c r="F3" s="4"/>
      <c r="G3" s="4"/>
      <c r="H3" s="4"/>
    </row>
    <row r="4" spans="2:8">
      <c r="B4" s="52" t="s">
        <v>1</v>
      </c>
      <c r="C4" s="52"/>
      <c r="D4" s="52"/>
      <c r="E4" s="52"/>
      <c r="F4" s="52"/>
      <c r="G4" s="52"/>
      <c r="H4" s="52"/>
    </row>
    <row r="6" spans="2:8">
      <c r="B6" s="5" t="s">
        <v>2</v>
      </c>
      <c r="C6" s="53" t="s">
        <v>3</v>
      </c>
      <c r="D6" s="53"/>
      <c r="E6" s="53"/>
      <c r="F6" s="53"/>
      <c r="G6" s="53"/>
      <c r="H6" s="53"/>
    </row>
    <row r="7" spans="2:8">
      <c r="B7" s="5" t="s">
        <v>4</v>
      </c>
      <c r="C7" s="53" t="s">
        <v>5</v>
      </c>
      <c r="D7" s="53"/>
      <c r="E7" s="53"/>
      <c r="F7" s="53"/>
      <c r="G7" s="53"/>
      <c r="H7" s="53"/>
    </row>
    <row r="8" spans="2:8">
      <c r="B8" s="5" t="s">
        <v>6</v>
      </c>
      <c r="C8" s="53" t="s">
        <v>7</v>
      </c>
      <c r="D8" s="53"/>
      <c r="E8" s="53"/>
      <c r="F8" s="53"/>
      <c r="G8" s="53"/>
      <c r="H8" s="53"/>
    </row>
    <row r="9" spans="2:8">
      <c r="B9" s="5" t="s">
        <v>8</v>
      </c>
      <c r="C9" s="53" t="s">
        <v>9</v>
      </c>
      <c r="D9" s="53"/>
      <c r="E9" s="53"/>
      <c r="F9" s="53"/>
      <c r="G9" s="53"/>
      <c r="H9" s="53"/>
    </row>
    <row r="10" spans="2:8">
      <c r="B10" s="5" t="s">
        <v>10</v>
      </c>
      <c r="C10" s="53" t="s">
        <v>11</v>
      </c>
      <c r="D10" s="53"/>
      <c r="E10" s="53"/>
      <c r="F10" s="53"/>
      <c r="G10" s="53"/>
      <c r="H10" s="53"/>
    </row>
    <row r="11" spans="2:8">
      <c r="B11" s="5" t="s">
        <v>12</v>
      </c>
      <c r="C11" s="53" t="s">
        <v>13</v>
      </c>
      <c r="D11" s="53"/>
      <c r="E11" s="53"/>
      <c r="F11" s="53"/>
      <c r="G11" s="53"/>
      <c r="H11" s="53"/>
    </row>
    <row r="12" spans="2:8">
      <c r="B12" s="5" t="s">
        <v>14</v>
      </c>
      <c r="C12" s="53" t="s">
        <v>15</v>
      </c>
      <c r="D12" s="53"/>
      <c r="E12" s="53"/>
      <c r="F12" s="53"/>
      <c r="G12" s="53"/>
      <c r="H12" s="53"/>
    </row>
    <row r="14" spans="2:8">
      <c r="B14" s="6" t="s">
        <v>16</v>
      </c>
    </row>
    <row r="15" spans="2:8">
      <c r="B15" s="7" t="s">
        <v>17</v>
      </c>
      <c r="C15" s="53" t="s">
        <v>18</v>
      </c>
      <c r="D15" s="53"/>
      <c r="E15" s="53"/>
      <c r="F15" s="53"/>
      <c r="G15" s="53"/>
      <c r="H15" s="53"/>
    </row>
    <row r="16" spans="2:8">
      <c r="B16" s="8" t="s">
        <v>19</v>
      </c>
      <c r="C16" s="53" t="s">
        <v>20</v>
      </c>
      <c r="D16" s="53"/>
      <c r="E16" s="53"/>
      <c r="F16" s="53"/>
      <c r="G16" s="53"/>
      <c r="H16" s="53"/>
    </row>
    <row r="17" spans="2:8">
      <c r="B17" s="9" t="s">
        <v>21</v>
      </c>
      <c r="C17" s="53" t="s">
        <v>22</v>
      </c>
      <c r="D17" s="53"/>
      <c r="E17" s="53"/>
      <c r="F17" s="53"/>
      <c r="G17" s="53"/>
      <c r="H17" s="53"/>
    </row>
    <row r="18" spans="2:8">
      <c r="B18" s="10" t="s">
        <v>23</v>
      </c>
      <c r="C18" s="53" t="s">
        <v>24</v>
      </c>
      <c r="D18" s="53"/>
      <c r="E18" s="53"/>
      <c r="F18" s="53"/>
      <c r="G18" s="53"/>
      <c r="H18" s="53"/>
    </row>
    <row r="20" spans="2:8">
      <c r="B20" s="6" t="s">
        <v>25</v>
      </c>
    </row>
    <row r="21" spans="2:8">
      <c r="B21" s="5" t="s">
        <v>26</v>
      </c>
      <c r="C21" s="53" t="s">
        <v>27</v>
      </c>
      <c r="D21" s="53"/>
      <c r="E21" s="53"/>
      <c r="F21" s="53"/>
      <c r="G21" s="53"/>
      <c r="H21" s="53"/>
    </row>
    <row r="22" spans="2:8">
      <c r="B22" s="5" t="s">
        <v>28</v>
      </c>
      <c r="C22" s="53" t="s">
        <v>29</v>
      </c>
      <c r="D22" s="53"/>
      <c r="E22" s="53"/>
      <c r="F22" s="53"/>
      <c r="G22" s="53"/>
      <c r="H22" s="53"/>
    </row>
    <row r="23" spans="2:8">
      <c r="B23" s="5" t="s">
        <v>30</v>
      </c>
      <c r="C23" s="53" t="s">
        <v>31</v>
      </c>
      <c r="D23" s="53"/>
      <c r="E23" s="53"/>
      <c r="F23" s="53"/>
      <c r="G23" s="53"/>
      <c r="H23" s="53"/>
    </row>
    <row r="24" spans="2:8">
      <c r="B24" s="5" t="s">
        <v>32</v>
      </c>
      <c r="C24" s="53" t="s">
        <v>33</v>
      </c>
      <c r="D24" s="53"/>
      <c r="E24" s="53"/>
      <c r="F24" s="53"/>
      <c r="G24" s="53"/>
      <c r="H24" s="53"/>
    </row>
    <row r="25" spans="2:8">
      <c r="B25" s="5" t="s">
        <v>34</v>
      </c>
      <c r="C25" s="53" t="s">
        <v>35</v>
      </c>
      <c r="D25" s="53"/>
      <c r="E25" s="53"/>
      <c r="F25" s="53"/>
      <c r="G25" s="53"/>
      <c r="H25" s="53"/>
    </row>
    <row r="26" spans="2:8">
      <c r="B26" s="5" t="s">
        <v>36</v>
      </c>
      <c r="C26" s="53" t="s">
        <v>37</v>
      </c>
      <c r="D26" s="53"/>
      <c r="E26" s="53"/>
      <c r="F26" s="53"/>
      <c r="G26" s="53"/>
      <c r="H26" s="53"/>
    </row>
    <row r="27" spans="2:8">
      <c r="B27" s="5" t="s">
        <v>38</v>
      </c>
      <c r="C27" s="53" t="s">
        <v>39</v>
      </c>
      <c r="D27" s="53"/>
      <c r="E27" s="53"/>
      <c r="F27" s="53"/>
      <c r="G27" s="53"/>
      <c r="H27" s="53"/>
    </row>
  </sheetData>
  <mergeCells count="20">
    <mergeCell ref="C23:H23"/>
    <mergeCell ref="C24:H24"/>
    <mergeCell ref="C25:H25"/>
    <mergeCell ref="C26:H26"/>
    <mergeCell ref="C27:H27"/>
    <mergeCell ref="C16:H16"/>
    <mergeCell ref="C17:H17"/>
    <mergeCell ref="C18:H18"/>
    <mergeCell ref="C21:H21"/>
    <mergeCell ref="C22:H22"/>
    <mergeCell ref="C9:H9"/>
    <mergeCell ref="C10:H10"/>
    <mergeCell ref="C11:H11"/>
    <mergeCell ref="C12:H12"/>
    <mergeCell ref="C15:H15"/>
    <mergeCell ref="B2:H3"/>
    <mergeCell ref="B4:H4"/>
    <mergeCell ref="C6:H6"/>
    <mergeCell ref="C7:H7"/>
    <mergeCell ref="C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9"/>
  <sheetViews>
    <sheetView showGridLines="0" zoomScaleNormal="100" workbookViewId="0"/>
  </sheetViews>
  <sheetFormatPr defaultColWidth="8.7109375" defaultRowHeight="15"/>
  <cols>
    <col min="1" max="1" width="2" customWidth="1"/>
    <col min="2" max="2" width="42" customWidth="1"/>
    <col min="3" max="5" width="18" customWidth="1"/>
    <col min="6" max="6" width="22" customWidth="1"/>
  </cols>
  <sheetData>
    <row r="2" spans="2:6" ht="17.45">
      <c r="B2" s="54" t="s">
        <v>40</v>
      </c>
      <c r="C2" s="54"/>
      <c r="D2" s="54"/>
      <c r="E2" s="54"/>
      <c r="F2" s="54"/>
    </row>
    <row r="4" spans="2:6">
      <c r="B4" s="6" t="s">
        <v>41</v>
      </c>
    </row>
    <row r="5" spans="2:6">
      <c r="B5" s="11" t="s">
        <v>42</v>
      </c>
      <c r="C5" s="11" t="s">
        <v>43</v>
      </c>
      <c r="D5" s="11" t="s">
        <v>44</v>
      </c>
    </row>
    <row r="6" spans="2:6">
      <c r="B6" s="12" t="s">
        <v>45</v>
      </c>
      <c r="C6" s="13">
        <v>105</v>
      </c>
      <c r="D6" s="14" t="s">
        <v>46</v>
      </c>
    </row>
    <row r="7" spans="2:6">
      <c r="B7" s="12" t="s">
        <v>47</v>
      </c>
      <c r="C7" s="13">
        <v>83.5</v>
      </c>
      <c r="D7" s="14" t="s">
        <v>48</v>
      </c>
    </row>
    <row r="8" spans="2:6">
      <c r="B8" s="12" t="s">
        <v>49</v>
      </c>
      <c r="C8" s="15">
        <v>0.08</v>
      </c>
      <c r="D8" s="14" t="s">
        <v>50</v>
      </c>
    </row>
    <row r="9" spans="2:6">
      <c r="B9" s="12" t="s">
        <v>51</v>
      </c>
      <c r="C9" s="15">
        <v>3.5000000000000003E-2</v>
      </c>
      <c r="D9" s="14" t="s">
        <v>50</v>
      </c>
    </row>
    <row r="10" spans="2:6">
      <c r="B10" s="12" t="s">
        <v>52</v>
      </c>
      <c r="C10" s="15">
        <v>0.02</v>
      </c>
      <c r="D10" s="14" t="s">
        <v>50</v>
      </c>
    </row>
    <row r="12" spans="2:6">
      <c r="B12" s="6" t="s">
        <v>53</v>
      </c>
    </row>
    <row r="13" spans="2:6">
      <c r="B13" s="11" t="s">
        <v>42</v>
      </c>
      <c r="C13" s="11" t="s">
        <v>43</v>
      </c>
      <c r="D13" s="11" t="s">
        <v>54</v>
      </c>
    </row>
    <row r="14" spans="2:6" ht="23.85">
      <c r="B14" s="12" t="s">
        <v>55</v>
      </c>
      <c r="C14" s="15">
        <v>0.15</v>
      </c>
      <c r="D14" s="14" t="s">
        <v>56</v>
      </c>
    </row>
    <row r="15" spans="2:6">
      <c r="B15" s="12" t="s">
        <v>57</v>
      </c>
      <c r="C15" s="15">
        <v>0.12</v>
      </c>
      <c r="D15" s="14" t="s">
        <v>58</v>
      </c>
    </row>
    <row r="16" spans="2:6">
      <c r="B16" s="12" t="s">
        <v>59</v>
      </c>
      <c r="C16" s="15">
        <v>0.02</v>
      </c>
      <c r="D16" s="14" t="s">
        <v>60</v>
      </c>
    </row>
    <row r="17" spans="2:6">
      <c r="B17" s="12" t="s">
        <v>61</v>
      </c>
      <c r="C17" s="15">
        <v>0.18</v>
      </c>
      <c r="D17" s="14" t="s">
        <v>62</v>
      </c>
    </row>
    <row r="18" spans="2:6">
      <c r="B18" s="12" t="s">
        <v>63</v>
      </c>
      <c r="C18" s="15">
        <v>0.16</v>
      </c>
      <c r="D18" s="14" t="s">
        <v>62</v>
      </c>
    </row>
    <row r="19" spans="2:6">
      <c r="B19" s="12" t="s">
        <v>64</v>
      </c>
      <c r="C19" s="15">
        <v>0.14000000000000001</v>
      </c>
      <c r="D19" s="14" t="s">
        <v>65</v>
      </c>
    </row>
    <row r="20" spans="2:6">
      <c r="B20" s="12" t="s">
        <v>66</v>
      </c>
      <c r="C20" s="15">
        <v>0.08</v>
      </c>
      <c r="D20" s="14" t="s">
        <v>67</v>
      </c>
    </row>
    <row r="22" spans="2:6">
      <c r="B22" s="6" t="s">
        <v>68</v>
      </c>
    </row>
    <row r="23" spans="2:6" ht="26.85">
      <c r="B23" s="11" t="s">
        <v>69</v>
      </c>
      <c r="C23" s="11" t="s">
        <v>70</v>
      </c>
      <c r="D23" s="11" t="s">
        <v>71</v>
      </c>
      <c r="E23" s="11" t="s">
        <v>72</v>
      </c>
    </row>
    <row r="24" spans="2:6">
      <c r="B24" s="12" t="s">
        <v>73</v>
      </c>
      <c r="C24" s="16">
        <v>25</v>
      </c>
      <c r="D24" s="16">
        <v>18</v>
      </c>
      <c r="E24" s="17">
        <v>14</v>
      </c>
    </row>
    <row r="25" spans="2:6">
      <c r="B25" s="12" t="s">
        <v>74</v>
      </c>
      <c r="C25" s="16">
        <v>40</v>
      </c>
      <c r="D25" s="16">
        <v>30</v>
      </c>
      <c r="E25" s="17">
        <v>15</v>
      </c>
    </row>
    <row r="26" spans="2:6">
      <c r="B26" s="12" t="s">
        <v>75</v>
      </c>
      <c r="C26" s="16">
        <v>75</v>
      </c>
      <c r="D26" s="16">
        <v>60</v>
      </c>
      <c r="E26" s="17">
        <v>16</v>
      </c>
    </row>
    <row r="27" spans="2:6">
      <c r="B27" s="12" t="s">
        <v>76</v>
      </c>
      <c r="C27" s="16">
        <v>100</v>
      </c>
      <c r="D27" s="16">
        <v>80</v>
      </c>
      <c r="E27" s="17">
        <v>9</v>
      </c>
    </row>
    <row r="28" spans="2:6">
      <c r="B28" s="12" t="s">
        <v>77</v>
      </c>
      <c r="C28" s="16">
        <v>60</v>
      </c>
      <c r="D28" s="16">
        <v>40</v>
      </c>
      <c r="E28" s="17">
        <v>42</v>
      </c>
    </row>
    <row r="30" spans="2:6">
      <c r="B30" s="6" t="s">
        <v>78</v>
      </c>
    </row>
    <row r="31" spans="2:6">
      <c r="B31" s="11" t="s">
        <v>42</v>
      </c>
      <c r="C31" s="11" t="s">
        <v>79</v>
      </c>
      <c r="D31" s="11" t="s">
        <v>80</v>
      </c>
      <c r="E31" s="11" t="s">
        <v>81</v>
      </c>
      <c r="F31" s="11" t="s">
        <v>44</v>
      </c>
    </row>
    <row r="32" spans="2:6">
      <c r="B32" s="12" t="s">
        <v>82</v>
      </c>
      <c r="C32" s="18">
        <v>112</v>
      </c>
      <c r="D32" s="18">
        <v>72</v>
      </c>
      <c r="E32" s="18">
        <v>82</v>
      </c>
      <c r="F32" s="14" t="s">
        <v>83</v>
      </c>
    </row>
    <row r="33" spans="2:6">
      <c r="B33" s="12" t="s">
        <v>84</v>
      </c>
      <c r="C33" s="18">
        <v>65</v>
      </c>
      <c r="D33" s="18">
        <v>65</v>
      </c>
      <c r="E33" s="18">
        <v>65</v>
      </c>
      <c r="F33" s="14" t="s">
        <v>85</v>
      </c>
    </row>
    <row r="34" spans="2:6">
      <c r="B34" s="12" t="s">
        <v>86</v>
      </c>
      <c r="C34" s="18">
        <v>3800</v>
      </c>
      <c r="D34" s="18">
        <v>3200</v>
      </c>
      <c r="E34" s="18">
        <v>3400</v>
      </c>
      <c r="F34" s="14" t="s">
        <v>87</v>
      </c>
    </row>
    <row r="35" spans="2:6">
      <c r="B35" s="12" t="s">
        <v>88</v>
      </c>
      <c r="C35" s="18">
        <v>7</v>
      </c>
      <c r="D35" s="18">
        <v>7</v>
      </c>
      <c r="E35" s="18">
        <v>7</v>
      </c>
      <c r="F35" s="14" t="s">
        <v>89</v>
      </c>
    </row>
    <row r="36" spans="2:6">
      <c r="B36" s="12" t="s">
        <v>90</v>
      </c>
      <c r="C36" s="18">
        <v>3200</v>
      </c>
      <c r="D36" s="18">
        <v>2600</v>
      </c>
      <c r="E36" s="18">
        <v>2900</v>
      </c>
      <c r="F36" s="14" t="s">
        <v>87</v>
      </c>
    </row>
    <row r="37" spans="2:6">
      <c r="B37" s="12" t="s">
        <v>91</v>
      </c>
      <c r="C37" s="18">
        <v>4800</v>
      </c>
      <c r="D37" s="18">
        <v>3800</v>
      </c>
      <c r="E37" s="18">
        <v>4200</v>
      </c>
      <c r="F37" s="14" t="s">
        <v>87</v>
      </c>
    </row>
    <row r="38" spans="2:6">
      <c r="B38" s="12" t="s">
        <v>92</v>
      </c>
      <c r="C38" s="18">
        <v>2400</v>
      </c>
      <c r="D38" s="18">
        <v>2000</v>
      </c>
      <c r="E38" s="18">
        <v>2200</v>
      </c>
      <c r="F38" s="14" t="s">
        <v>87</v>
      </c>
    </row>
    <row r="39" spans="2:6">
      <c r="B39" s="12" t="s">
        <v>93</v>
      </c>
      <c r="C39" s="18">
        <v>1600</v>
      </c>
      <c r="D39" s="18">
        <v>1400</v>
      </c>
      <c r="E39" s="18">
        <v>1500</v>
      </c>
      <c r="F39" s="14" t="s">
        <v>87</v>
      </c>
    </row>
    <row r="41" spans="2:6">
      <c r="B41" s="6" t="s">
        <v>94</v>
      </c>
    </row>
    <row r="42" spans="2:6" ht="26.85">
      <c r="B42" s="11" t="s">
        <v>69</v>
      </c>
      <c r="C42" s="11" t="s">
        <v>95</v>
      </c>
      <c r="D42" s="11" t="s">
        <v>96</v>
      </c>
    </row>
    <row r="43" spans="2:6">
      <c r="B43" s="12" t="s">
        <v>97</v>
      </c>
      <c r="C43" s="18">
        <v>82000</v>
      </c>
      <c r="D43" s="19">
        <f>ROUND(C43*$C$6/100000,1)</f>
        <v>86.1</v>
      </c>
    </row>
    <row r="44" spans="2:6">
      <c r="B44" s="12" t="s">
        <v>98</v>
      </c>
      <c r="C44" s="18">
        <v>95000</v>
      </c>
      <c r="D44" s="19">
        <f>ROUND(C44*$C$6/100000,1)</f>
        <v>99.8</v>
      </c>
    </row>
    <row r="45" spans="2:6">
      <c r="B45" s="12" t="s">
        <v>99</v>
      </c>
      <c r="C45" s="18">
        <v>88000</v>
      </c>
      <c r="D45" s="19">
        <f>ROUND(C45*$C$6/100000,1)</f>
        <v>92.4</v>
      </c>
    </row>
    <row r="46" spans="2:6">
      <c r="B46" s="12" t="s">
        <v>100</v>
      </c>
      <c r="C46" s="18">
        <v>52000</v>
      </c>
      <c r="D46" s="19">
        <f>ROUND(C46*$C$6/100000,1)</f>
        <v>54.6</v>
      </c>
    </row>
    <row r="47" spans="2:6">
      <c r="B47" s="12" t="s">
        <v>101</v>
      </c>
      <c r="C47" s="18">
        <v>48000</v>
      </c>
      <c r="D47" s="19">
        <f>ROUND(C47*$C$6/100000,1)</f>
        <v>50.4</v>
      </c>
    </row>
    <row r="48" spans="2:6">
      <c r="B48" s="12" t="s">
        <v>102</v>
      </c>
      <c r="C48" s="18">
        <v>38000</v>
      </c>
      <c r="D48" s="19">
        <f>ROUND(C48*$C$6/100000,1)</f>
        <v>39.9</v>
      </c>
    </row>
    <row r="49" spans="2:4">
      <c r="B49" s="12" t="s">
        <v>77</v>
      </c>
      <c r="C49" s="18">
        <v>105000</v>
      </c>
      <c r="D49" s="19">
        <f>ROUND(C49*$C$6/100000,1)</f>
        <v>110.3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8"/>
  <sheetViews>
    <sheetView showGridLines="0" zoomScaleNormal="100" workbookViewId="0"/>
  </sheetViews>
  <sheetFormatPr defaultColWidth="8.7109375" defaultRowHeight="15"/>
  <cols>
    <col min="1" max="1" width="2" customWidth="1"/>
    <col min="2" max="2" width="30" customWidth="1"/>
    <col min="3" max="3" width="20" customWidth="1"/>
    <col min="4" max="8" width="12" customWidth="1"/>
  </cols>
  <sheetData>
    <row r="2" spans="2:8" ht="17.45">
      <c r="B2" s="54" t="s">
        <v>103</v>
      </c>
      <c r="C2" s="54"/>
      <c r="D2" s="54"/>
      <c r="E2" s="54"/>
      <c r="F2" s="54"/>
      <c r="G2" s="54"/>
      <c r="H2" s="54"/>
    </row>
    <row r="3" spans="2:8">
      <c r="B3" s="55" t="s">
        <v>104</v>
      </c>
      <c r="C3" s="55"/>
      <c r="D3" s="55"/>
      <c r="E3" s="55"/>
      <c r="F3" s="55"/>
      <c r="G3" s="55"/>
      <c r="H3" s="55"/>
    </row>
    <row r="5" spans="2:8" ht="26.85">
      <c r="B5" s="20" t="s">
        <v>105</v>
      </c>
      <c r="C5" s="20" t="s">
        <v>106</v>
      </c>
      <c r="D5" s="20" t="s">
        <v>107</v>
      </c>
      <c r="E5" s="20" t="s">
        <v>108</v>
      </c>
      <c r="F5" s="20" t="s">
        <v>109</v>
      </c>
      <c r="G5" s="20" t="s">
        <v>110</v>
      </c>
      <c r="H5" s="20" t="s">
        <v>111</v>
      </c>
    </row>
    <row r="6" spans="2:8">
      <c r="B6" s="21" t="s">
        <v>97</v>
      </c>
      <c r="C6" s="22" t="s">
        <v>79</v>
      </c>
      <c r="D6" s="23">
        <v>60</v>
      </c>
      <c r="E6" s="23">
        <v>130</v>
      </c>
      <c r="F6" s="23">
        <v>200</v>
      </c>
      <c r="G6" s="23">
        <v>220</v>
      </c>
      <c r="H6" s="23">
        <v>240</v>
      </c>
    </row>
    <row r="7" spans="2:8">
      <c r="B7" s="21" t="s">
        <v>98</v>
      </c>
      <c r="C7" s="22" t="s">
        <v>79</v>
      </c>
      <c r="D7" s="23">
        <v>30</v>
      </c>
      <c r="E7" s="23">
        <v>65</v>
      </c>
      <c r="F7" s="23">
        <v>98</v>
      </c>
      <c r="G7" s="23">
        <v>110</v>
      </c>
      <c r="H7" s="23">
        <v>120</v>
      </c>
    </row>
    <row r="8" spans="2:8">
      <c r="B8" s="21" t="s">
        <v>99</v>
      </c>
      <c r="C8" s="22" t="s">
        <v>79</v>
      </c>
      <c r="D8" s="23">
        <v>20</v>
      </c>
      <c r="E8" s="23">
        <v>40</v>
      </c>
      <c r="F8" s="23">
        <v>65</v>
      </c>
      <c r="G8" s="23">
        <v>72</v>
      </c>
      <c r="H8" s="23">
        <v>80</v>
      </c>
    </row>
    <row r="9" spans="2:8">
      <c r="B9" s="21" t="s">
        <v>102</v>
      </c>
      <c r="C9" s="22" t="s">
        <v>79</v>
      </c>
      <c r="D9" s="23">
        <v>35</v>
      </c>
      <c r="E9" s="23">
        <v>70</v>
      </c>
      <c r="F9" s="23">
        <v>90</v>
      </c>
      <c r="G9" s="23">
        <v>100</v>
      </c>
      <c r="H9" s="23">
        <v>110</v>
      </c>
    </row>
    <row r="10" spans="2:8">
      <c r="B10" s="21" t="s">
        <v>77</v>
      </c>
      <c r="C10" s="22" t="s">
        <v>79</v>
      </c>
      <c r="D10" s="23">
        <v>20</v>
      </c>
      <c r="E10" s="23">
        <v>45</v>
      </c>
      <c r="F10" s="23">
        <v>60</v>
      </c>
      <c r="G10" s="23">
        <v>65</v>
      </c>
      <c r="H10" s="23">
        <v>70</v>
      </c>
    </row>
    <row r="11" spans="2:8">
      <c r="B11" s="21" t="s">
        <v>112</v>
      </c>
      <c r="C11" s="22" t="s">
        <v>79</v>
      </c>
      <c r="D11" s="23">
        <v>8</v>
      </c>
      <c r="E11" s="23">
        <v>16</v>
      </c>
      <c r="F11" s="23">
        <v>24</v>
      </c>
      <c r="G11" s="23">
        <v>26</v>
      </c>
      <c r="H11" s="23">
        <v>28</v>
      </c>
    </row>
    <row r="12" spans="2:8">
      <c r="B12" s="21" t="s">
        <v>100</v>
      </c>
      <c r="C12" s="24" t="s">
        <v>81</v>
      </c>
      <c r="D12" s="23">
        <v>0</v>
      </c>
      <c r="E12" s="23">
        <v>55</v>
      </c>
      <c r="F12" s="23">
        <v>114</v>
      </c>
      <c r="G12" s="23">
        <v>130</v>
      </c>
      <c r="H12" s="23">
        <v>145</v>
      </c>
    </row>
    <row r="13" spans="2:8">
      <c r="B13" s="21" t="s">
        <v>113</v>
      </c>
      <c r="C13" s="24" t="s">
        <v>81</v>
      </c>
      <c r="D13" s="23">
        <v>0</v>
      </c>
      <c r="E13" s="23">
        <v>18</v>
      </c>
      <c r="F13" s="23">
        <v>43</v>
      </c>
      <c r="G13" s="23">
        <v>48</v>
      </c>
      <c r="H13" s="23">
        <v>52</v>
      </c>
    </row>
    <row r="14" spans="2:8">
      <c r="B14" s="25" t="s">
        <v>114</v>
      </c>
      <c r="C14" s="26"/>
      <c r="D14" s="27">
        <f>SUM(D6:D13)</f>
        <v>173</v>
      </c>
      <c r="E14" s="27">
        <f>SUM(E6:E13)</f>
        <v>439</v>
      </c>
      <c r="F14" s="27">
        <f>SUM(F6:F13)</f>
        <v>694</v>
      </c>
      <c r="G14" s="27">
        <f>SUM(G6:G13)</f>
        <v>771</v>
      </c>
      <c r="H14" s="27">
        <f>SUM(H6:H13)</f>
        <v>845</v>
      </c>
    </row>
    <row r="16" spans="2:8">
      <c r="B16" s="28" t="s">
        <v>115</v>
      </c>
    </row>
    <row r="17" spans="2:8">
      <c r="B17" s="28" t="s">
        <v>79</v>
      </c>
      <c r="D17" s="29">
        <f>SUMIF($C$6:$C$13,"Bengaluru",D$6:D$13)</f>
        <v>173</v>
      </c>
      <c r="E17" s="29">
        <f>SUMIF($C$6:$C$13,"Bengaluru",E$6:E$13)</f>
        <v>366</v>
      </c>
      <c r="F17" s="29">
        <f>SUMIF($C$6:$C$13,"Bengaluru",F$6:F$13)</f>
        <v>537</v>
      </c>
      <c r="G17" s="29">
        <f>SUMIF($C$6:$C$13,"Bengaluru",G$6:G$13)</f>
        <v>593</v>
      </c>
      <c r="H17" s="29">
        <f>SUMIF($C$6:$C$13,"Bengaluru",H$6:H$13)</f>
        <v>648</v>
      </c>
    </row>
    <row r="18" spans="2:8">
      <c r="B18" s="30" t="s">
        <v>81</v>
      </c>
      <c r="D18" s="31">
        <f>SUMIF($C$6:$C$13,"Pune",D$6:D$13)</f>
        <v>0</v>
      </c>
      <c r="E18" s="31">
        <f>SUMIF($C$6:$C$13,"Pune",E$6:E$13)</f>
        <v>73</v>
      </c>
      <c r="F18" s="31">
        <f>SUMIF($C$6:$C$13,"Pune",F$6:F$13)</f>
        <v>157</v>
      </c>
      <c r="G18" s="31">
        <f>SUMIF($C$6:$C$13,"Pune",G$6:G$13)</f>
        <v>178</v>
      </c>
      <c r="H18" s="31">
        <f>SUMIF($C$6:$C$13,"Pune",H$6:H$13)</f>
        <v>197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5"/>
  <sheetViews>
    <sheetView showGridLines="0" zoomScaleNormal="100" workbookViewId="0"/>
  </sheetViews>
  <sheetFormatPr defaultColWidth="8.7109375" defaultRowHeight="15"/>
  <cols>
    <col min="1" max="1" width="2" customWidth="1"/>
    <col min="2" max="2" width="30" customWidth="1"/>
    <col min="3" max="3" width="20" customWidth="1"/>
    <col min="4" max="8" width="13" customWidth="1"/>
  </cols>
  <sheetData>
    <row r="2" spans="2:8" ht="17.45">
      <c r="B2" s="54" t="s">
        <v>116</v>
      </c>
      <c r="C2" s="54"/>
      <c r="D2" s="54"/>
      <c r="E2" s="54"/>
      <c r="F2" s="54"/>
      <c r="G2" s="54"/>
      <c r="H2" s="54"/>
    </row>
    <row r="3" spans="2:8">
      <c r="B3" s="55" t="s">
        <v>117</v>
      </c>
      <c r="C3" s="55"/>
      <c r="D3" s="55"/>
      <c r="E3" s="55"/>
      <c r="F3" s="55"/>
      <c r="G3" s="55"/>
      <c r="H3" s="55"/>
    </row>
    <row r="5" spans="2:8" ht="26.85">
      <c r="B5" s="20" t="s">
        <v>105</v>
      </c>
      <c r="C5" s="20" t="s">
        <v>118</v>
      </c>
      <c r="D5" s="20" t="s">
        <v>107</v>
      </c>
      <c r="E5" s="20" t="s">
        <v>108</v>
      </c>
      <c r="F5" s="20" t="s">
        <v>109</v>
      </c>
      <c r="G5" s="20" t="s">
        <v>110</v>
      </c>
      <c r="H5" s="20" t="s">
        <v>111</v>
      </c>
    </row>
    <row r="6" spans="2:8">
      <c r="B6" s="21" t="s">
        <v>97</v>
      </c>
      <c r="C6" s="17">
        <v>24.5</v>
      </c>
      <c r="D6" s="32">
        <f>('HC Ramp'!D6)*$C6*(1+Assumptions!$C$8)^(1-1)/100</f>
        <v>14.7</v>
      </c>
      <c r="E6" s="32">
        <f>('HC Ramp'!E6)*$C6*(1+Assumptions!$C$8)^(2-1)/100</f>
        <v>34.398000000000003</v>
      </c>
      <c r="F6" s="32">
        <f>('HC Ramp'!F6)*$C6*(1+Assumptions!$C$8)^(3-1)/100</f>
        <v>57.153600000000004</v>
      </c>
      <c r="G6" s="32">
        <f>('HC Ramp'!G6)*$C6*(1+Assumptions!$C$8)^(4-1)/100</f>
        <v>67.898476800000012</v>
      </c>
      <c r="H6" s="32">
        <f>('HC Ramp'!H6)*$C6*(1+Assumptions!$C$8)^(5-1)/100</f>
        <v>79.996750848000019</v>
      </c>
    </row>
    <row r="7" spans="2:8">
      <c r="B7" s="21" t="s">
        <v>98</v>
      </c>
      <c r="C7" s="17">
        <v>29.2</v>
      </c>
      <c r="D7" s="32">
        <f>('HC Ramp'!D7)*$C7*(1+Assumptions!$C$8)^(1-1)/100</f>
        <v>8.76</v>
      </c>
      <c r="E7" s="32">
        <f>('HC Ramp'!E7)*$C7*(1+Assumptions!$C$8)^(2-1)/100</f>
        <v>20.4984</v>
      </c>
      <c r="F7" s="32">
        <f>('HC Ramp'!F7)*$C7*(1+Assumptions!$C$8)^(3-1)/100</f>
        <v>33.377702400000004</v>
      </c>
      <c r="G7" s="32">
        <f>('HC Ramp'!G7)*$C7*(1+Assumptions!$C$8)^(4-1)/100</f>
        <v>40.461949440000005</v>
      </c>
      <c r="H7" s="32">
        <f>('HC Ramp'!H7)*$C7*(1+Assumptions!$C$8)^(5-1)/100</f>
        <v>47.67153315840001</v>
      </c>
    </row>
    <row r="8" spans="2:8">
      <c r="B8" s="21" t="s">
        <v>99</v>
      </c>
      <c r="C8" s="17">
        <v>26.4</v>
      </c>
      <c r="D8" s="32">
        <f>('HC Ramp'!D8)*$C8*(1+Assumptions!$C$8)^(1-1)/100</f>
        <v>5.28</v>
      </c>
      <c r="E8" s="32">
        <f>('HC Ramp'!E8)*$C8*(1+Assumptions!$C$8)^(2-1)/100</f>
        <v>11.4048</v>
      </c>
      <c r="F8" s="32">
        <f>('HC Ramp'!F8)*$C8*(1+Assumptions!$C$8)^(3-1)/100</f>
        <v>20.015424000000003</v>
      </c>
      <c r="G8" s="32">
        <f>('HC Ramp'!G8)*$C8*(1+Assumptions!$C$8)^(4-1)/100</f>
        <v>23.944605696000004</v>
      </c>
      <c r="H8" s="32">
        <f>('HC Ramp'!H8)*$C8*(1+Assumptions!$C$8)^(5-1)/100</f>
        <v>28.733526835200006</v>
      </c>
    </row>
    <row r="9" spans="2:8">
      <c r="B9" s="21" t="s">
        <v>102</v>
      </c>
      <c r="C9" s="17">
        <v>10.199999999999999</v>
      </c>
      <c r="D9" s="32">
        <f>('HC Ramp'!D9)*$C9*(1+Assumptions!$C$8)^(1-1)/100</f>
        <v>3.57</v>
      </c>
      <c r="E9" s="32">
        <f>('HC Ramp'!E9)*$C9*(1+Assumptions!$C$8)^(2-1)/100</f>
        <v>7.7111999999999998</v>
      </c>
      <c r="F9" s="32">
        <f>('HC Ramp'!F9)*$C9*(1+Assumptions!$C$8)^(3-1)/100</f>
        <v>10.707552</v>
      </c>
      <c r="G9" s="32">
        <f>('HC Ramp'!G9)*$C9*(1+Assumptions!$C$8)^(4-1)/100</f>
        <v>12.849062400000001</v>
      </c>
      <c r="H9" s="32">
        <f>('HC Ramp'!H9)*$C9*(1+Assumptions!$C$8)^(5-1)/100</f>
        <v>15.264686131200003</v>
      </c>
    </row>
    <row r="10" spans="2:8">
      <c r="B10" s="21" t="s">
        <v>77</v>
      </c>
      <c r="C10" s="17">
        <v>38</v>
      </c>
      <c r="D10" s="32">
        <f>('HC Ramp'!D10)*$C10*(1+Assumptions!$C$8)^(1-1)/100</f>
        <v>7.6</v>
      </c>
      <c r="E10" s="32">
        <f>('HC Ramp'!E10)*$C10*(1+Assumptions!$C$8)^(2-1)/100</f>
        <v>18.468000000000004</v>
      </c>
      <c r="F10" s="32">
        <f>('HC Ramp'!F10)*$C10*(1+Assumptions!$C$8)^(3-1)/100</f>
        <v>26.593920000000004</v>
      </c>
      <c r="G10" s="32">
        <f>('HC Ramp'!G10)*$C10*(1+Assumptions!$C$8)^(4-1)/100</f>
        <v>31.114886400000003</v>
      </c>
      <c r="H10" s="32">
        <f>('HC Ramp'!H10)*$C10*(1+Assumptions!$C$8)^(5-1)/100</f>
        <v>36.189006336000006</v>
      </c>
    </row>
    <row r="11" spans="2:8">
      <c r="B11" s="21" t="s">
        <v>112</v>
      </c>
      <c r="C11" s="17">
        <v>13.6</v>
      </c>
      <c r="D11" s="32">
        <f>('HC Ramp'!D11)*$C11*(1+Assumptions!$C$8)^(1-1)/100</f>
        <v>1.0880000000000001</v>
      </c>
      <c r="E11" s="32">
        <f>('HC Ramp'!E11)*$C11*(1+Assumptions!$C$8)^(2-1)/100</f>
        <v>2.3500800000000002</v>
      </c>
      <c r="F11" s="32">
        <f>('HC Ramp'!F11)*$C11*(1+Assumptions!$C$8)^(3-1)/100</f>
        <v>3.8071296000000001</v>
      </c>
      <c r="G11" s="32">
        <f>('HC Ramp'!G11)*$C11*(1+Assumptions!$C$8)^(4-1)/100</f>
        <v>4.4543416320000002</v>
      </c>
      <c r="H11" s="32">
        <f>('HC Ramp'!H11)*$C11*(1+Assumptions!$C$8)^(5-1)/100</f>
        <v>5.1807419596800015</v>
      </c>
    </row>
    <row r="12" spans="2:8">
      <c r="B12" s="21" t="s">
        <v>100</v>
      </c>
      <c r="C12" s="17">
        <v>13.8</v>
      </c>
      <c r="D12" s="32">
        <f>('HC Ramp'!D12)*$C12*(1+Assumptions!$C$8)^(1-1)/100</f>
        <v>0</v>
      </c>
      <c r="E12" s="32">
        <f>('HC Ramp'!E12)*$C12*(1+Assumptions!$C$8)^(2-1)/100</f>
        <v>8.1972000000000005</v>
      </c>
      <c r="F12" s="32">
        <f>('HC Ramp'!F12)*$C12*(1+Assumptions!$C$8)^(3-1)/100</f>
        <v>18.349804800000001</v>
      </c>
      <c r="G12" s="32">
        <f>('HC Ramp'!G12)*$C12*(1+Assumptions!$C$8)^(4-1)/100</f>
        <v>22.599233280000004</v>
      </c>
      <c r="H12" s="32">
        <f>('HC Ramp'!H12)*$C12*(1+Assumptions!$C$8)^(5-1)/100</f>
        <v>27.223384089600003</v>
      </c>
    </row>
    <row r="13" spans="2:8">
      <c r="B13" s="21" t="s">
        <v>113</v>
      </c>
      <c r="C13" s="17">
        <v>12.8</v>
      </c>
      <c r="D13" s="32">
        <f>('HC Ramp'!D13)*$C13*(1+Assumptions!$C$8)^(1-1)/100</f>
        <v>0</v>
      </c>
      <c r="E13" s="32">
        <f>('HC Ramp'!E13)*$C13*(1+Assumptions!$C$8)^(2-1)/100</f>
        <v>2.4883200000000003</v>
      </c>
      <c r="F13" s="32">
        <f>('HC Ramp'!F13)*$C13*(1+Assumptions!$C$8)^(3-1)/100</f>
        <v>6.4198656000000005</v>
      </c>
      <c r="G13" s="32">
        <f>('HC Ramp'!G13)*$C13*(1+Assumptions!$C$8)^(4-1)/100</f>
        <v>7.7396705280000022</v>
      </c>
      <c r="H13" s="32">
        <f>('HC Ramp'!H13)*$C13*(1+Assumptions!$C$8)^(5-1)/100</f>
        <v>9.0554145177600027</v>
      </c>
    </row>
    <row r="14" spans="2:8">
      <c r="B14" s="25" t="s">
        <v>119</v>
      </c>
      <c r="C14" s="26"/>
      <c r="D14" s="33">
        <f>SUM(D6:D13)</f>
        <v>40.998000000000005</v>
      </c>
      <c r="E14" s="33">
        <f>SUM(E6:E13)</f>
        <v>105.51600000000001</v>
      </c>
      <c r="F14" s="33">
        <f>SUM(F6:F13)</f>
        <v>176.42499840000002</v>
      </c>
      <c r="G14" s="33">
        <f>SUM(G6:G13)</f>
        <v>211.062226176</v>
      </c>
      <c r="H14" s="33">
        <f>SUM(H6:H13)</f>
        <v>249.31504387584002</v>
      </c>
    </row>
    <row r="15" spans="2:8">
      <c r="B15" s="34" t="s">
        <v>120</v>
      </c>
      <c r="C15" s="22"/>
      <c r="D15" s="35">
        <f>D14*10/Assumptions!$C$6</f>
        <v>3.9045714285714288</v>
      </c>
      <c r="E15" s="35">
        <f>E14*10/Assumptions!$C$6</f>
        <v>10.049142857142858</v>
      </c>
      <c r="F15" s="35">
        <f>F14*10/Assumptions!$C$6</f>
        <v>16.802380800000002</v>
      </c>
      <c r="G15" s="35">
        <f>G14*10/Assumptions!$C$6</f>
        <v>20.101164397714285</v>
      </c>
      <c r="H15" s="35">
        <f>H14*10/Assumptions!$C$6</f>
        <v>23.744289892937143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0"/>
  <sheetViews>
    <sheetView showGridLines="0" zoomScaleNormal="100" workbookViewId="0"/>
  </sheetViews>
  <sheetFormatPr defaultColWidth="8.7109375" defaultRowHeight="15"/>
  <cols>
    <col min="1" max="1" width="2" customWidth="1"/>
    <col min="2" max="2" width="22" customWidth="1"/>
    <col min="3" max="3" width="14" customWidth="1"/>
    <col min="4" max="8" width="13" customWidth="1"/>
  </cols>
  <sheetData>
    <row r="2" spans="2:8" ht="17.45">
      <c r="B2" s="54" t="s">
        <v>121</v>
      </c>
      <c r="C2" s="54"/>
      <c r="D2" s="54"/>
      <c r="E2" s="54"/>
      <c r="F2" s="54"/>
      <c r="G2" s="54"/>
      <c r="H2" s="54"/>
    </row>
    <row r="3" spans="2:8">
      <c r="B3" s="55" t="s">
        <v>122</v>
      </c>
      <c r="C3" s="55"/>
      <c r="D3" s="55"/>
      <c r="E3" s="55"/>
      <c r="F3" s="55"/>
      <c r="G3" s="55"/>
      <c r="H3" s="55"/>
    </row>
    <row r="5" spans="2:8">
      <c r="B5" s="20" t="s">
        <v>123</v>
      </c>
      <c r="C5" s="20" t="s">
        <v>124</v>
      </c>
      <c r="D5" s="20" t="s">
        <v>107</v>
      </c>
      <c r="E5" s="20" t="s">
        <v>108</v>
      </c>
      <c r="F5" s="20" t="s">
        <v>109</v>
      </c>
      <c r="G5" s="20" t="s">
        <v>110</v>
      </c>
      <c r="H5" s="20" t="s">
        <v>111</v>
      </c>
    </row>
    <row r="6" spans="2:8">
      <c r="B6" s="12" t="s">
        <v>125</v>
      </c>
      <c r="C6" s="22" t="s">
        <v>79</v>
      </c>
      <c r="D6" s="32">
        <f>'HC Ramp'!D16*INDEX(Assumptions!C:C,MATCH("Sqft per FTE",Assumptions!$B:$B,0))*INDEX(Assumptions!C:C,MATCH("Rent (Grade A, warm shell)",Assumptions!$B:$B,0))*12*(1+Assumptions!$C$10)^(1-1)/10000000</f>
        <v>0</v>
      </c>
      <c r="E6" s="32">
        <f>'HC Ramp'!E16*INDEX(Assumptions!C:C,MATCH("Sqft per FTE",Assumptions!$B:$B,0))*INDEX(Assumptions!C:C,MATCH("Rent (Grade A, warm shell)",Assumptions!$B:$B,0))*12*(1+Assumptions!$C$10)^(2-1)/10000000</f>
        <v>0</v>
      </c>
      <c r="F6" s="32">
        <f>'HC Ramp'!F16*INDEX(Assumptions!C:C,MATCH("Sqft per FTE",Assumptions!$B:$B,0))*INDEX(Assumptions!C:C,MATCH("Rent (Grade A, warm shell)",Assumptions!$B:$B,0))*12*(1+Assumptions!$C$10)^(3-1)/10000000</f>
        <v>0</v>
      </c>
      <c r="G6" s="32">
        <f>'HC Ramp'!G16*INDEX(Assumptions!C:C,MATCH("Sqft per FTE",Assumptions!$B:$B,0))*INDEX(Assumptions!C:C,MATCH("Rent (Grade A, warm shell)",Assumptions!$B:$B,0))*12*(1+Assumptions!$C$10)^(4-1)/10000000</f>
        <v>0</v>
      </c>
      <c r="H6" s="32">
        <f>'HC Ramp'!H16*INDEX(Assumptions!C:C,MATCH("Sqft per FTE",Assumptions!$B:$B,0))*INDEX(Assumptions!C:C,MATCH("Rent (Grade A, warm shell)",Assumptions!$B:$B,0))*12*(1+Assumptions!$C$10)^(5-1)/10000000</f>
        <v>0</v>
      </c>
    </row>
    <row r="7" spans="2:8">
      <c r="B7" s="12" t="s">
        <v>125</v>
      </c>
      <c r="C7" s="24" t="s">
        <v>81</v>
      </c>
      <c r="D7" s="32">
        <f>'HC Ramp'!D17*INDEX(Assumptions!E:E,MATCH("Sqft per FTE",Assumptions!$B:$B,0))*INDEX(Assumptions!E:E,MATCH("Rent (Grade A, warm shell)",Assumptions!$B:$B,0))*12*(1+Assumptions!$C$10)^(1-1)/10000000</f>
        <v>1.106508</v>
      </c>
      <c r="E7" s="32">
        <f>'HC Ramp'!E17*INDEX(Assumptions!E:E,MATCH("Sqft per FTE",Assumptions!$B:$B,0))*INDEX(Assumptions!E:E,MATCH("Rent (Grade A, warm shell)",Assumptions!$B:$B,0))*12*(1+Assumptions!$C$10)^(2-1)/10000000</f>
        <v>2.3877547199999998</v>
      </c>
      <c r="F7" s="32">
        <f>'HC Ramp'!F17*INDEX(Assumptions!E:E,MATCH("Sqft per FTE",Assumptions!$B:$B,0))*INDEX(Assumptions!E:E,MATCH("Rent (Grade A, warm shell)",Assumptions!$B:$B,0))*12*(1+Assumptions!$C$10)^(3-1)/10000000</f>
        <v>3.5734119407999998</v>
      </c>
      <c r="G7" s="32">
        <f>'HC Ramp'!G17*INDEX(Assumptions!E:E,MATCH("Sqft per FTE",Assumptions!$B:$B,0))*INDEX(Assumptions!E:E,MATCH("Rent (Grade A, warm shell)",Assumptions!$B:$B,0))*12*(1+Assumptions!$C$10)^(4-1)/10000000</f>
        <v>4.0249794162240002</v>
      </c>
      <c r="H7" s="32">
        <f>'HC Ramp'!H17*INDEX(Assumptions!E:E,MATCH("Sqft per FTE",Assumptions!$B:$B,0))*INDEX(Assumptions!E:E,MATCH("Rent (Grade A, warm shell)",Assumptions!$B:$B,0))*12*(1+Assumptions!$C$10)^(5-1)/10000000</f>
        <v>4.4862569897932794</v>
      </c>
    </row>
    <row r="8" spans="2:8">
      <c r="B8" s="12" t="s">
        <v>126</v>
      </c>
      <c r="C8" s="22" t="s">
        <v>79</v>
      </c>
      <c r="D8" s="32">
        <f>'HC Ramp'!D16*INDEX(Assumptions!C:C,MATCH("Utilities per FTE / mo",Assumptions!$B:$B,0))*12*(1+Assumptions!$C$10)^(1-1)/10000000</f>
        <v>0</v>
      </c>
      <c r="E8" s="32">
        <f>'HC Ramp'!E16*INDEX(Assumptions!C:C,MATCH("Utilities per FTE / mo",Assumptions!$B:$B,0))*12*(1+Assumptions!$C$10)^(2-1)/10000000</f>
        <v>0</v>
      </c>
      <c r="F8" s="32">
        <f>'HC Ramp'!F16*INDEX(Assumptions!C:C,MATCH("Utilities per FTE / mo",Assumptions!$B:$B,0))*12*(1+Assumptions!$C$10)^(3-1)/10000000</f>
        <v>0</v>
      </c>
      <c r="G8" s="32">
        <f>'HC Ramp'!G16*INDEX(Assumptions!C:C,MATCH("Utilities per FTE / mo",Assumptions!$B:$B,0))*12*(1+Assumptions!$C$10)^(4-1)/10000000</f>
        <v>0</v>
      </c>
      <c r="H8" s="32">
        <f>'HC Ramp'!H16*INDEX(Assumptions!C:C,MATCH("Utilities per FTE / mo",Assumptions!$B:$B,0))*12*(1+Assumptions!$C$10)^(5-1)/10000000</f>
        <v>0</v>
      </c>
    </row>
    <row r="9" spans="2:8">
      <c r="B9" s="12" t="s">
        <v>126</v>
      </c>
      <c r="C9" s="24" t="s">
        <v>81</v>
      </c>
      <c r="D9" s="32">
        <f>'HC Ramp'!D17*INDEX(Assumptions!E:E,MATCH("Utilities per FTE / mo",Assumptions!$B:$B,0))*12*(1+Assumptions!$C$10)^(1-1)/10000000</f>
        <v>0.60204000000000002</v>
      </c>
      <c r="E9" s="32">
        <f>'HC Ramp'!E17*INDEX(Assumptions!E:E,MATCH("Utilities per FTE / mo",Assumptions!$B:$B,0))*12*(1+Assumptions!$C$10)^(2-1)/10000000</f>
        <v>1.2991535999999999</v>
      </c>
      <c r="F9" s="32">
        <f>'HC Ramp'!F17*INDEX(Assumptions!E:E,MATCH("Utilities per FTE / mo",Assumptions!$B:$B,0))*12*(1+Assumptions!$C$10)^(3-1)/10000000</f>
        <v>1.9442579039999999</v>
      </c>
      <c r="G9" s="32">
        <f>'HC Ramp'!G17*INDEX(Assumptions!E:E,MATCH("Utilities per FTE / mo",Assumptions!$B:$B,0))*12*(1+Assumptions!$C$10)^(4-1)/10000000</f>
        <v>2.1899512771199996</v>
      </c>
      <c r="H9" s="32">
        <f>'HC Ramp'!H17*INDEX(Assumptions!E:E,MATCH("Utilities per FTE / mo",Assumptions!$B:$B,0))*12*(1+Assumptions!$C$10)^(5-1)/10000000</f>
        <v>2.4409278180863998</v>
      </c>
    </row>
    <row r="10" spans="2:8">
      <c r="B10" s="12" t="s">
        <v>127</v>
      </c>
      <c r="C10" s="22" t="s">
        <v>79</v>
      </c>
      <c r="D10" s="32">
        <f>'HC Ramp'!D16*INDEX(Assumptions!C:C,MATCH("Transport per FTE / mo",Assumptions!$B:$B,0))*12*(1+Assumptions!$C$10)^(1-1)/10000000</f>
        <v>0</v>
      </c>
      <c r="E10" s="32">
        <f>'HC Ramp'!E16*INDEX(Assumptions!C:C,MATCH("Transport per FTE / mo",Assumptions!$B:$B,0))*12*(1+Assumptions!$C$10)^(2-1)/10000000</f>
        <v>0</v>
      </c>
      <c r="F10" s="32">
        <f>'HC Ramp'!F16*INDEX(Assumptions!C:C,MATCH("Transport per FTE / mo",Assumptions!$B:$B,0))*12*(1+Assumptions!$C$10)^(3-1)/10000000</f>
        <v>0</v>
      </c>
      <c r="G10" s="32">
        <f>'HC Ramp'!G16*INDEX(Assumptions!C:C,MATCH("Transport per FTE / mo",Assumptions!$B:$B,0))*12*(1+Assumptions!$C$10)^(4-1)/10000000</f>
        <v>0</v>
      </c>
      <c r="H10" s="32">
        <f>'HC Ramp'!H16*INDEX(Assumptions!C:C,MATCH("Transport per FTE / mo",Assumptions!$B:$B,0))*12*(1+Assumptions!$C$10)^(5-1)/10000000</f>
        <v>0</v>
      </c>
    </row>
    <row r="11" spans="2:8">
      <c r="B11" s="12" t="s">
        <v>127</v>
      </c>
      <c r="C11" s="24" t="s">
        <v>81</v>
      </c>
      <c r="D11" s="32">
        <f>'HC Ramp'!D17*INDEX(Assumptions!E:E,MATCH("Transport per FTE / mo",Assumptions!$B:$B,0))*12*(1+Assumptions!$C$10)^(1-1)/10000000</f>
        <v>0.87192000000000003</v>
      </c>
      <c r="E11" s="32">
        <f>'HC Ramp'!E17*INDEX(Assumptions!E:E,MATCH("Transport per FTE / mo",Assumptions!$B:$B,0))*12*(1+Assumptions!$C$10)^(2-1)/10000000</f>
        <v>1.8815328</v>
      </c>
      <c r="F11" s="32">
        <f>'HC Ramp'!F17*INDEX(Assumptions!E:E,MATCH("Transport per FTE / mo",Assumptions!$B:$B,0))*12*(1+Assumptions!$C$10)^(3-1)/10000000</f>
        <v>2.8158217919999999</v>
      </c>
      <c r="G11" s="32">
        <f>'HC Ramp'!G17*INDEX(Assumptions!E:E,MATCH("Transport per FTE / mo",Assumptions!$B:$B,0))*12*(1+Assumptions!$C$10)^(4-1)/10000000</f>
        <v>3.17165357376</v>
      </c>
      <c r="H11" s="32">
        <f>'HC Ramp'!H17*INDEX(Assumptions!E:E,MATCH("Transport per FTE / mo",Assumptions!$B:$B,0))*12*(1+Assumptions!$C$10)^(5-1)/10000000</f>
        <v>3.5351368399871999</v>
      </c>
    </row>
    <row r="12" spans="2:8">
      <c r="B12" s="12" t="s">
        <v>128</v>
      </c>
      <c r="C12" s="22" t="s">
        <v>79</v>
      </c>
      <c r="D12" s="32">
        <f>'HC Ramp'!D16*INDEX(Assumptions!C:C,MATCH("F&amp;B / cafeteria per FTE / mo",Assumptions!$B:$B,0))*12*(1+Assumptions!$C$10)^(1-1)/10000000</f>
        <v>0</v>
      </c>
      <c r="E12" s="32">
        <f>'HC Ramp'!E16*INDEX(Assumptions!C:C,MATCH("F&amp;B / cafeteria per FTE / mo",Assumptions!$B:$B,0))*12*(1+Assumptions!$C$10)^(2-1)/10000000</f>
        <v>0</v>
      </c>
      <c r="F12" s="32">
        <f>'HC Ramp'!F16*INDEX(Assumptions!C:C,MATCH("F&amp;B / cafeteria per FTE / mo",Assumptions!$B:$B,0))*12*(1+Assumptions!$C$10)^(3-1)/10000000</f>
        <v>0</v>
      </c>
      <c r="G12" s="32">
        <f>'HC Ramp'!G16*INDEX(Assumptions!C:C,MATCH("F&amp;B / cafeteria per FTE / mo",Assumptions!$B:$B,0))*12*(1+Assumptions!$C$10)^(4-1)/10000000</f>
        <v>0</v>
      </c>
      <c r="H12" s="32">
        <f>'HC Ramp'!H16*INDEX(Assumptions!C:C,MATCH("F&amp;B / cafeteria per FTE / mo",Assumptions!$B:$B,0))*12*(1+Assumptions!$C$10)^(5-1)/10000000</f>
        <v>0</v>
      </c>
    </row>
    <row r="13" spans="2:8">
      <c r="B13" s="12" t="s">
        <v>128</v>
      </c>
      <c r="C13" s="24" t="s">
        <v>81</v>
      </c>
      <c r="D13" s="32">
        <f>'HC Ramp'!D17*INDEX(Assumptions!E:E,MATCH("F&amp;B / cafeteria per FTE / mo",Assumptions!$B:$B,0))*12*(1+Assumptions!$C$10)^(1-1)/10000000</f>
        <v>0.45672000000000001</v>
      </c>
      <c r="E13" s="32">
        <f>'HC Ramp'!E17*INDEX(Assumptions!E:E,MATCH("F&amp;B / cafeteria per FTE / mo",Assumptions!$B:$B,0))*12*(1+Assumptions!$C$10)^(2-1)/10000000</f>
        <v>0.98556480000000002</v>
      </c>
      <c r="F13" s="32">
        <f>'HC Ramp'!F17*INDEX(Assumptions!E:E,MATCH("F&amp;B / cafeteria per FTE / mo",Assumptions!$B:$B,0))*12*(1+Assumptions!$C$10)^(3-1)/10000000</f>
        <v>1.4749542720000002</v>
      </c>
      <c r="G13" s="32">
        <f>'HC Ramp'!G17*INDEX(Assumptions!E:E,MATCH("F&amp;B / cafeteria per FTE / mo",Assumptions!$B:$B,0))*12*(1+Assumptions!$C$10)^(4-1)/10000000</f>
        <v>1.66134234816</v>
      </c>
      <c r="H13" s="32">
        <f>'HC Ramp'!H17*INDEX(Assumptions!E:E,MATCH("F&amp;B / cafeteria per FTE / mo",Assumptions!$B:$B,0))*12*(1+Assumptions!$C$10)^(5-1)/10000000</f>
        <v>1.8517383447551998</v>
      </c>
    </row>
    <row r="14" spans="2:8">
      <c r="B14" s="12" t="s">
        <v>129</v>
      </c>
      <c r="C14" s="22" t="s">
        <v>79</v>
      </c>
      <c r="D14" s="32">
        <f>'HC Ramp'!D16*INDEX(Assumptions!C:C,MATCH("Security + insurance per FTE / mo",Assumptions!$B:$B,0))*12*(1+Assumptions!$C$10)^(1-1)/10000000</f>
        <v>0</v>
      </c>
      <c r="E14" s="32">
        <f>'HC Ramp'!E16*INDEX(Assumptions!C:C,MATCH("Security + insurance per FTE / mo",Assumptions!$B:$B,0))*12*(1+Assumptions!$C$10)^(2-1)/10000000</f>
        <v>0</v>
      </c>
      <c r="F14" s="32">
        <f>'HC Ramp'!F16*INDEX(Assumptions!C:C,MATCH("Security + insurance per FTE / mo",Assumptions!$B:$B,0))*12*(1+Assumptions!$C$10)^(3-1)/10000000</f>
        <v>0</v>
      </c>
      <c r="G14" s="32">
        <f>'HC Ramp'!G16*INDEX(Assumptions!C:C,MATCH("Security + insurance per FTE / mo",Assumptions!$B:$B,0))*12*(1+Assumptions!$C$10)^(4-1)/10000000</f>
        <v>0</v>
      </c>
      <c r="H14" s="32">
        <f>'HC Ramp'!H16*INDEX(Assumptions!C:C,MATCH("Security + insurance per FTE / mo",Assumptions!$B:$B,0))*12*(1+Assumptions!$C$10)^(5-1)/10000000</f>
        <v>0</v>
      </c>
    </row>
    <row r="15" spans="2:8">
      <c r="B15" s="12" t="s">
        <v>129</v>
      </c>
      <c r="C15" s="24" t="s">
        <v>81</v>
      </c>
      <c r="D15" s="32">
        <f>'HC Ramp'!D17*INDEX(Assumptions!E:E,MATCH("Security + insurance per FTE / mo",Assumptions!$B:$B,0))*12*(1+Assumptions!$C$10)^(1-1)/10000000</f>
        <v>0.31140000000000001</v>
      </c>
      <c r="E15" s="32">
        <f>'HC Ramp'!E17*INDEX(Assumptions!E:E,MATCH("Security + insurance per FTE / mo",Assumptions!$B:$B,0))*12*(1+Assumptions!$C$10)^(2-1)/10000000</f>
        <v>0.67197600000000002</v>
      </c>
      <c r="F15" s="32">
        <f>'HC Ramp'!F17*INDEX(Assumptions!E:E,MATCH("Security + insurance per FTE / mo",Assumptions!$B:$B,0))*12*(1+Assumptions!$C$10)^(3-1)/10000000</f>
        <v>1.00565064</v>
      </c>
      <c r="G15" s="32">
        <f>'HC Ramp'!G17*INDEX(Assumptions!E:E,MATCH("Security + insurance per FTE / mo",Assumptions!$B:$B,0))*12*(1+Assumptions!$C$10)^(4-1)/10000000</f>
        <v>1.1327334192</v>
      </c>
      <c r="H15" s="32">
        <f>'HC Ramp'!H17*INDEX(Assumptions!E:E,MATCH("Security + insurance per FTE / mo",Assumptions!$B:$B,0))*12*(1+Assumptions!$C$10)^(5-1)/10000000</f>
        <v>1.2625488714240001</v>
      </c>
    </row>
    <row r="16" spans="2:8">
      <c r="B16" s="12" t="s">
        <v>130</v>
      </c>
      <c r="C16" s="22" t="s">
        <v>79</v>
      </c>
      <c r="D16" s="32">
        <f>'HC Ramp'!D16*INDEX(Assumptions!C:C,MATCH("Sqft per FTE",Assumptions!$B:$B,0))*INDEX(Assumptions!C:C,MATCH("Fit-out capex (per sqft)",Assumptions!$B:$B,0))/INDEX(Assumptions!C:C,MATCH("Fit-out amortization",Assumptions!$B:$B,0))/10000000</f>
        <v>0</v>
      </c>
      <c r="E16" s="32">
        <f>'HC Ramp'!E16*INDEX(Assumptions!C:C,MATCH("Sqft per FTE",Assumptions!$B:$B,0))*INDEX(Assumptions!C:C,MATCH("Fit-out capex (per sqft)",Assumptions!$B:$B,0))/INDEX(Assumptions!C:C,MATCH("Fit-out amortization",Assumptions!$B:$B,0))/10000000</f>
        <v>0</v>
      </c>
      <c r="F16" s="32">
        <f>'HC Ramp'!F16*INDEX(Assumptions!C:C,MATCH("Sqft per FTE",Assumptions!$B:$B,0))*INDEX(Assumptions!C:C,MATCH("Fit-out capex (per sqft)",Assumptions!$B:$B,0))/INDEX(Assumptions!C:C,MATCH("Fit-out amortization",Assumptions!$B:$B,0))/10000000</f>
        <v>0</v>
      </c>
      <c r="G16" s="32">
        <f>'HC Ramp'!G16*INDEX(Assumptions!C:C,MATCH("Sqft per FTE",Assumptions!$B:$B,0))*INDEX(Assumptions!C:C,MATCH("Fit-out capex (per sqft)",Assumptions!$B:$B,0))/INDEX(Assumptions!C:C,MATCH("Fit-out amortization",Assumptions!$B:$B,0))/10000000</f>
        <v>0</v>
      </c>
      <c r="H16" s="32">
        <f>'HC Ramp'!H16*INDEX(Assumptions!C:C,MATCH("Sqft per FTE",Assumptions!$B:$B,0))*INDEX(Assumptions!C:C,MATCH("Fit-out capex (per sqft)",Assumptions!$B:$B,0))/INDEX(Assumptions!C:C,MATCH("Fit-out amortization",Assumptions!$B:$B,0))/10000000</f>
        <v>0</v>
      </c>
    </row>
    <row r="17" spans="2:10">
      <c r="B17" s="12" t="s">
        <v>130</v>
      </c>
      <c r="C17" s="24" t="s">
        <v>81</v>
      </c>
      <c r="D17" s="32">
        <f>'HC Ramp'!D17*INDEX(Assumptions!E:E,MATCH("Sqft per FTE",Assumptions!$B:$B,0))*INDEX(Assumptions!E:E,MATCH("Fit-out capex (per sqft)",Assumptions!$B:$B,0))/INDEX(Assumptions!E:E,MATCH("Fit-out amortization",Assumptions!$B:$B,0))/10000000</f>
        <v>0.54618571428571427</v>
      </c>
      <c r="E17" s="32">
        <f>'HC Ramp'!E17*INDEX(Assumptions!E:E,MATCH("Sqft per FTE",Assumptions!$B:$B,0))*INDEX(Assumptions!E:E,MATCH("Fit-out capex (per sqft)",Assumptions!$B:$B,0))/INDEX(Assumptions!E:E,MATCH("Fit-out amortization",Assumptions!$B:$B,0))/10000000</f>
        <v>1.1555142857142857</v>
      </c>
      <c r="F17" s="32">
        <f>'HC Ramp'!F17*INDEX(Assumptions!E:E,MATCH("Sqft per FTE",Assumptions!$B:$B,0))*INDEX(Assumptions!E:E,MATCH("Fit-out capex (per sqft)",Assumptions!$B:$B,0))/INDEX(Assumptions!E:E,MATCH("Fit-out amortization",Assumptions!$B:$B,0))/10000000</f>
        <v>1.6953857142857143</v>
      </c>
      <c r="G17" s="32">
        <f>'HC Ramp'!G17*INDEX(Assumptions!E:E,MATCH("Sqft per FTE",Assumptions!$B:$B,0))*INDEX(Assumptions!E:E,MATCH("Fit-out capex (per sqft)",Assumptions!$B:$B,0))/INDEX(Assumptions!E:E,MATCH("Fit-out amortization",Assumptions!$B:$B,0))/10000000</f>
        <v>1.8721857142857141</v>
      </c>
      <c r="H17" s="32">
        <f>'HC Ramp'!H17*INDEX(Assumptions!E:E,MATCH("Sqft per FTE",Assumptions!$B:$B,0))*INDEX(Assumptions!E:E,MATCH("Fit-out capex (per sqft)",Assumptions!$B:$B,0))/INDEX(Assumptions!E:E,MATCH("Fit-out amortization",Assumptions!$B:$B,0))/10000000</f>
        <v>2.0458285714285713</v>
      </c>
    </row>
    <row r="18" spans="2:10">
      <c r="B18" s="25" t="s">
        <v>131</v>
      </c>
      <c r="C18" s="26"/>
      <c r="D18" s="33">
        <f>SUM(D6:D17)</f>
        <v>3.894773714285714</v>
      </c>
      <c r="E18" s="33">
        <f>SUM(E6:E17)</f>
        <v>8.381496205714285</v>
      </c>
      <c r="F18" s="33">
        <f>SUM(F6:F17)</f>
        <v>12.509482263085715</v>
      </c>
      <c r="G18" s="33">
        <f>SUM(G6:G17)</f>
        <v>14.052845748749714</v>
      </c>
      <c r="H18" s="33">
        <f>SUM(H6:H17)</f>
        <v>15.622437435474652</v>
      </c>
    </row>
    <row r="20" spans="2:10" ht="23.85">
      <c r="B20" s="36" t="s">
        <v>132</v>
      </c>
      <c r="C20" s="37"/>
      <c r="D20" s="38">
        <f>60000*INDEX(Assumptions!C:C,MATCH("Fit-out capex (per sqft)",Assumptions!$B:$B,0))/10000000 + 3</f>
        <v>25.8</v>
      </c>
      <c r="E20" s="38">
        <f>25000*INDEX(Assumptions!E:E,MATCH("Fit-out capex (per sqft)",Assumptions!$B:$B,0))/10000000 + 2</f>
        <v>10.5</v>
      </c>
      <c r="H20" s="39">
        <v>0</v>
      </c>
      <c r="I20" s="39">
        <v>0</v>
      </c>
      <c r="J20" s="39">
        <v>0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9"/>
  <sheetViews>
    <sheetView showGridLines="0" zoomScaleNormal="100" workbookViewId="0"/>
  </sheetViews>
  <sheetFormatPr defaultColWidth="8.7109375" defaultRowHeight="15"/>
  <cols>
    <col min="1" max="1" width="2" customWidth="1"/>
    <col min="2" max="2" width="30" customWidth="1"/>
    <col min="3" max="3" width="14" customWidth="1"/>
    <col min="4" max="8" width="13" customWidth="1"/>
  </cols>
  <sheetData>
    <row r="2" spans="2:8" ht="17.45">
      <c r="B2" s="54" t="s">
        <v>133</v>
      </c>
      <c r="C2" s="54"/>
      <c r="D2" s="54"/>
      <c r="E2" s="54"/>
      <c r="F2" s="54"/>
      <c r="G2" s="54"/>
      <c r="H2" s="54"/>
    </row>
    <row r="3" spans="2:8">
      <c r="B3" s="55" t="s">
        <v>134</v>
      </c>
      <c r="C3" s="55"/>
      <c r="D3" s="55"/>
      <c r="E3" s="55"/>
      <c r="F3" s="55"/>
      <c r="G3" s="55"/>
      <c r="H3" s="55"/>
    </row>
    <row r="5" spans="2:8">
      <c r="B5" s="20" t="s">
        <v>135</v>
      </c>
      <c r="C5" s="20" t="s">
        <v>136</v>
      </c>
      <c r="D5" s="20" t="s">
        <v>107</v>
      </c>
      <c r="E5" s="20" t="s">
        <v>108</v>
      </c>
      <c r="F5" s="20" t="s">
        <v>109</v>
      </c>
      <c r="G5" s="20" t="s">
        <v>110</v>
      </c>
      <c r="H5" s="20" t="s">
        <v>111</v>
      </c>
    </row>
    <row r="6" spans="2:8">
      <c r="B6" s="21" t="s">
        <v>137</v>
      </c>
      <c r="C6" s="40" t="s">
        <v>138</v>
      </c>
      <c r="D6" s="41">
        <f>ROUNDUP('HC Ramp'!D14/INDEX(Assumptions!$D:$D,MATCH("HR Ops (generalist + TA)",Assumptions!$B:$B,0)),0)</f>
        <v>10</v>
      </c>
      <c r="E6" s="41">
        <f>ROUNDUP('HC Ramp'!E14/INDEX(Assumptions!$C:$C,MATCH("HR Ops (generalist + TA)",Assumptions!$B:$B,0)),0)</f>
        <v>18</v>
      </c>
      <c r="F6" s="41">
        <f>ROUNDUP('HC Ramp'!F14/INDEX(Assumptions!$C:$C,MATCH("HR Ops (generalist + TA)",Assumptions!$B:$B,0)),0)</f>
        <v>28</v>
      </c>
      <c r="G6" s="41">
        <f>ROUNDUP('HC Ramp'!G14/INDEX(Assumptions!$C:$C,MATCH("HR Ops (generalist + TA)",Assumptions!$B:$B,0)),0)</f>
        <v>31</v>
      </c>
      <c r="H6" s="41">
        <f>ROUNDUP('HC Ramp'!H14/INDEX(Assumptions!$C:$C,MATCH("HR Ops (generalist + TA)",Assumptions!$B:$B,0)),0)</f>
        <v>34</v>
      </c>
    </row>
    <row r="7" spans="2:8" ht="23.85">
      <c r="B7" s="21" t="s">
        <v>139</v>
      </c>
      <c r="C7" s="40" t="s">
        <v>138</v>
      </c>
      <c r="D7" s="41">
        <f>ROUNDUP('HC Ramp'!D14/INDEX(Assumptions!$D:$D,MATCH("Finance Ops (AP/GL/Controllership)",Assumptions!$B:$B,0)),0)</f>
        <v>6</v>
      </c>
      <c r="E7" s="41">
        <f>ROUNDUP('HC Ramp'!E14/INDEX(Assumptions!$C:$C,MATCH("Finance Ops (AP/GL/Controllership)",Assumptions!$B:$B,0)),0)</f>
        <v>11</v>
      </c>
      <c r="F7" s="41">
        <f>ROUNDUP('HC Ramp'!F14/INDEX(Assumptions!$C:$C,MATCH("Finance Ops (AP/GL/Controllership)",Assumptions!$B:$B,0)),0)</f>
        <v>18</v>
      </c>
      <c r="G7" s="41">
        <f>ROUNDUP('HC Ramp'!G14/INDEX(Assumptions!$C:$C,MATCH("Finance Ops (AP/GL/Controllership)",Assumptions!$B:$B,0)),0)</f>
        <v>20</v>
      </c>
      <c r="H7" s="41">
        <f>ROUNDUP('HC Ramp'!H14/INDEX(Assumptions!$C:$C,MATCH("Finance Ops (AP/GL/Controllership)",Assumptions!$B:$B,0)),0)</f>
        <v>22</v>
      </c>
    </row>
    <row r="8" spans="2:8">
      <c r="B8" s="21" t="s">
        <v>140</v>
      </c>
      <c r="C8" s="40" t="s">
        <v>138</v>
      </c>
      <c r="D8" s="41">
        <f>ROUNDUP('HC Ramp'!D14/INDEX(Assumptions!$D:$D,MATCH("IT Support / DevEx",Assumptions!$B:$B,0)),0)</f>
        <v>3</v>
      </c>
      <c r="E8" s="41">
        <f>ROUNDUP('HC Ramp'!E14/INDEX(Assumptions!$C:$C,MATCH("IT Support / DevEx",Assumptions!$B:$B,0)),0)</f>
        <v>6</v>
      </c>
      <c r="F8" s="41">
        <f>ROUNDUP('HC Ramp'!F14/INDEX(Assumptions!$C:$C,MATCH("IT Support / DevEx",Assumptions!$B:$B,0)),0)</f>
        <v>10</v>
      </c>
      <c r="G8" s="41">
        <f>ROUNDUP('HC Ramp'!G14/INDEX(Assumptions!$C:$C,MATCH("IT Support / DevEx",Assumptions!$B:$B,0)),0)</f>
        <v>11</v>
      </c>
      <c r="H8" s="41">
        <f>ROUNDUP('HC Ramp'!H14/INDEX(Assumptions!$C:$C,MATCH("IT Support / DevEx",Assumptions!$B:$B,0)),0)</f>
        <v>12</v>
      </c>
    </row>
    <row r="9" spans="2:8">
      <c r="B9" s="21" t="s">
        <v>141</v>
      </c>
      <c r="C9" s="40" t="s">
        <v>138</v>
      </c>
      <c r="D9" s="41">
        <f>ROUNDUP('HC Ramp'!D14/INDEX(Assumptions!$D:$D,MATCH("Facilities / Admin (managed)",Assumptions!$B:$B,0)),0)</f>
        <v>3</v>
      </c>
      <c r="E9" s="41">
        <f>ROUNDUP('HC Ramp'!E14/INDEX(Assumptions!$C:$C,MATCH("Facilities / Admin (managed)",Assumptions!$B:$B,0)),0)</f>
        <v>5</v>
      </c>
      <c r="F9" s="41">
        <f>ROUNDUP('HC Ramp'!F14/INDEX(Assumptions!$C:$C,MATCH("Facilities / Admin (managed)",Assumptions!$B:$B,0)),0)</f>
        <v>7</v>
      </c>
      <c r="G9" s="41">
        <f>ROUNDUP('HC Ramp'!G14/INDEX(Assumptions!$C:$C,MATCH("Facilities / Admin (managed)",Assumptions!$B:$B,0)),0)</f>
        <v>8</v>
      </c>
      <c r="H9" s="41">
        <f>ROUNDUP('HC Ramp'!H14/INDEX(Assumptions!$C:$C,MATCH("Facilities / Admin (managed)",Assumptions!$B:$B,0)),0)</f>
        <v>9</v>
      </c>
    </row>
    <row r="10" spans="2:8">
      <c r="B10" s="21" t="s">
        <v>142</v>
      </c>
      <c r="C10" s="40" t="s">
        <v>138</v>
      </c>
      <c r="D10" s="41">
        <f>ROUNDUP('HC Ramp'!D14/INDEX(Assumptions!$D:$D,MATCH("Site Leadership + PMO",Assumptions!$B:$B,0)),0)</f>
        <v>5</v>
      </c>
      <c r="E10" s="41">
        <f>ROUNDUP('HC Ramp'!E14/INDEX(Assumptions!$C:$C,MATCH("Site Leadership + PMO",Assumptions!$B:$B,0)),0)</f>
        <v>8</v>
      </c>
      <c r="F10" s="41">
        <f>ROUNDUP('HC Ramp'!F14/INDEX(Assumptions!$C:$C,MATCH("Site Leadership + PMO",Assumptions!$B:$B,0)),0)</f>
        <v>12</v>
      </c>
      <c r="G10" s="41">
        <f>ROUNDUP('HC Ramp'!G14/INDEX(Assumptions!$C:$C,MATCH("Site Leadership + PMO",Assumptions!$B:$B,0)),0)</f>
        <v>13</v>
      </c>
      <c r="H10" s="41">
        <f>ROUNDUP('HC Ramp'!H14/INDEX(Assumptions!$C:$C,MATCH("Site Leadership + PMO",Assumptions!$B:$B,0)),0)</f>
        <v>15</v>
      </c>
    </row>
    <row r="11" spans="2:8">
      <c r="B11" s="28" t="s">
        <v>143</v>
      </c>
      <c r="C11" s="22"/>
      <c r="D11" s="29">
        <f>SUM(D6:D10)</f>
        <v>27</v>
      </c>
      <c r="E11" s="29">
        <f>SUM(E6:E10)</f>
        <v>48</v>
      </c>
      <c r="F11" s="29">
        <f>SUM(F6:F10)</f>
        <v>75</v>
      </c>
      <c r="G11" s="29">
        <f>SUM(G6:G10)</f>
        <v>83</v>
      </c>
      <c r="H11" s="29">
        <f>SUM(H6:H10)</f>
        <v>92</v>
      </c>
    </row>
    <row r="13" spans="2:8">
      <c r="B13" s="25" t="s">
        <v>144</v>
      </c>
      <c r="C13" s="26"/>
    </row>
    <row r="14" spans="2:8">
      <c r="B14" s="12" t="s">
        <v>145</v>
      </c>
      <c r="D14" s="32">
        <f>D6*INDEX(Assumptions!$E:$E,MATCH("HR Ops (generalist + TA)",Assumptions!$B:$B,0))*(1+Assumptions!$C$8)^(1-1)/100</f>
        <v>1.4</v>
      </c>
      <c r="E14" s="32">
        <f>E6*INDEX(Assumptions!$E:$E,MATCH("HR Ops (generalist + TA)",Assumptions!$B:$B,0))*(1+Assumptions!$C$8)^(2-1)/100</f>
        <v>2.7216000000000005</v>
      </c>
      <c r="F14" s="32">
        <f>F6*INDEX(Assumptions!$E:$E,MATCH("HR Ops (generalist + TA)",Assumptions!$B:$B,0))*(1+Assumptions!$C$8)^(3-1)/100</f>
        <v>4.5722880000000004</v>
      </c>
      <c r="G14" s="32">
        <f>G6*INDEX(Assumptions!$E:$E,MATCH("HR Ops (generalist + TA)",Assumptions!$B:$B,0))*(1+Assumptions!$C$8)^(4-1)/100</f>
        <v>5.4671500800000015</v>
      </c>
      <c r="H14" s="32">
        <f>H6*INDEX(Assumptions!$E:$E,MATCH("HR Ops (generalist + TA)",Assumptions!$B:$B,0))*(1+Assumptions!$C$8)^(5-1)/100</f>
        <v>6.4759274496000012</v>
      </c>
    </row>
    <row r="15" spans="2:8" ht="23.85">
      <c r="B15" s="12" t="s">
        <v>146</v>
      </c>
      <c r="D15" s="32">
        <f>D7*INDEX(Assumptions!$E:$E,MATCH("Finance Ops (AP/GL/Controllership)",Assumptions!$B:$B,0))*(1+Assumptions!$C$8)^(1-1)/100</f>
        <v>0.9</v>
      </c>
      <c r="E15" s="32">
        <f>E7*INDEX(Assumptions!$E:$E,MATCH("Finance Ops (AP/GL/Controllership)",Assumptions!$B:$B,0))*(1+Assumptions!$C$8)^(2-1)/100</f>
        <v>1.7820000000000003</v>
      </c>
      <c r="F15" s="32">
        <f>F7*INDEX(Assumptions!$E:$E,MATCH("Finance Ops (AP/GL/Controllership)",Assumptions!$B:$B,0))*(1+Assumptions!$C$8)^(3-1)/100</f>
        <v>3.1492800000000005</v>
      </c>
      <c r="G15" s="32">
        <f>G7*INDEX(Assumptions!$E:$E,MATCH("Finance Ops (AP/GL/Controllership)",Assumptions!$B:$B,0))*(1+Assumptions!$C$8)^(4-1)/100</f>
        <v>3.7791360000000003</v>
      </c>
      <c r="H15" s="32">
        <f>H7*INDEX(Assumptions!$E:$E,MATCH("Finance Ops (AP/GL/Controllership)",Assumptions!$B:$B,0))*(1+Assumptions!$C$8)^(5-1)/100</f>
        <v>4.4896135680000011</v>
      </c>
    </row>
    <row r="16" spans="2:8">
      <c r="B16" s="12" t="s">
        <v>147</v>
      </c>
      <c r="D16" s="32">
        <f>D8*INDEX(Assumptions!$E:$E,MATCH("IT Support / DevEx",Assumptions!$B:$B,0))*(1+Assumptions!$C$8)^(1-1)/100</f>
        <v>0.48</v>
      </c>
      <c r="E16" s="32">
        <f>E8*INDEX(Assumptions!$E:$E,MATCH("IT Support / DevEx",Assumptions!$B:$B,0))*(1+Assumptions!$C$8)^(2-1)/100</f>
        <v>1.0368000000000002</v>
      </c>
      <c r="F16" s="32">
        <f>F8*INDEX(Assumptions!$E:$E,MATCH("IT Support / DevEx",Assumptions!$B:$B,0))*(1+Assumptions!$C$8)^(3-1)/100</f>
        <v>1.8662400000000003</v>
      </c>
      <c r="G16" s="32">
        <f>G8*INDEX(Assumptions!$E:$E,MATCH("IT Support / DevEx",Assumptions!$B:$B,0))*(1+Assumptions!$C$8)^(4-1)/100</f>
        <v>2.2170931200000004</v>
      </c>
      <c r="H16" s="32">
        <f>H8*INDEX(Assumptions!$E:$E,MATCH("IT Support / DevEx",Assumptions!$B:$B,0))*(1+Assumptions!$C$8)^(5-1)/100</f>
        <v>2.6121388032000006</v>
      </c>
    </row>
    <row r="17" spans="2:8">
      <c r="B17" s="12" t="s">
        <v>148</v>
      </c>
      <c r="D17" s="32">
        <f>D9*INDEX(Assumptions!$E:$E,MATCH("Facilities / Admin (managed)",Assumptions!$B:$B,0))*(1+Assumptions!$C$8)^(1-1)/100</f>
        <v>0.27</v>
      </c>
      <c r="E17" s="32">
        <f>E9*INDEX(Assumptions!$E:$E,MATCH("Facilities / Admin (managed)",Assumptions!$B:$B,0))*(1+Assumptions!$C$8)^(2-1)/100</f>
        <v>0.48599999999999999</v>
      </c>
      <c r="F17" s="32">
        <f>F9*INDEX(Assumptions!$E:$E,MATCH("Facilities / Admin (managed)",Assumptions!$B:$B,0))*(1+Assumptions!$C$8)^(3-1)/100</f>
        <v>0.73483200000000015</v>
      </c>
      <c r="G17" s="32">
        <f>G9*INDEX(Assumptions!$E:$E,MATCH("Facilities / Admin (managed)",Assumptions!$B:$B,0))*(1+Assumptions!$C$8)^(4-1)/100</f>
        <v>0.90699264000000013</v>
      </c>
      <c r="H17" s="32">
        <f>H9*INDEX(Assumptions!$E:$E,MATCH("Facilities / Admin (managed)",Assumptions!$B:$B,0))*(1+Assumptions!$C$8)^(5-1)/100</f>
        <v>1.1019960576000003</v>
      </c>
    </row>
    <row r="18" spans="2:8">
      <c r="B18" s="12" t="s">
        <v>149</v>
      </c>
      <c r="D18" s="32">
        <f>D10*INDEX(Assumptions!$E:$E,MATCH("Site Leadership + PMO",Assumptions!$B:$B,0))*(1+Assumptions!$C$8)^(1-1)/100</f>
        <v>2.1</v>
      </c>
      <c r="E18" s="32">
        <f>E10*INDEX(Assumptions!$E:$E,MATCH("Site Leadership + PMO",Assumptions!$B:$B,0))*(1+Assumptions!$C$8)^(2-1)/100</f>
        <v>3.6288</v>
      </c>
      <c r="F18" s="32">
        <f>F10*INDEX(Assumptions!$E:$E,MATCH("Site Leadership + PMO",Assumptions!$B:$B,0))*(1+Assumptions!$C$8)^(3-1)/100</f>
        <v>5.8786560000000012</v>
      </c>
      <c r="G18" s="32">
        <f>G10*INDEX(Assumptions!$E:$E,MATCH("Site Leadership + PMO",Assumptions!$B:$B,0))*(1+Assumptions!$C$8)^(4-1)/100</f>
        <v>6.8780275200000007</v>
      </c>
      <c r="H18" s="32">
        <f>H10*INDEX(Assumptions!$E:$E,MATCH("Site Leadership + PMO",Assumptions!$B:$B,0))*(1+Assumptions!$C$8)^(5-1)/100</f>
        <v>8.5710804480000018</v>
      </c>
    </row>
    <row r="19" spans="2:8">
      <c r="B19" s="25" t="s">
        <v>150</v>
      </c>
      <c r="C19" s="26"/>
      <c r="D19" s="33">
        <f>SUM(D14:D18)</f>
        <v>5.15</v>
      </c>
      <c r="E19" s="33">
        <f>SUM(E14:E18)</f>
        <v>9.6552000000000007</v>
      </c>
      <c r="F19" s="33">
        <f>SUM(F14:F18)</f>
        <v>16.201296000000006</v>
      </c>
      <c r="G19" s="33">
        <f>SUM(G14:G18)</f>
        <v>19.248399360000004</v>
      </c>
      <c r="H19" s="33">
        <f>SUM(H14:H18)</f>
        <v>23.250756326400008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3"/>
  <sheetViews>
    <sheetView showGridLines="0" zoomScaleNormal="100" workbookViewId="0"/>
  </sheetViews>
  <sheetFormatPr defaultColWidth="8.7109375" defaultRowHeight="15"/>
  <cols>
    <col min="1" max="1" width="2" customWidth="1"/>
    <col min="2" max="2" width="32" customWidth="1"/>
    <col min="3" max="7" width="13" customWidth="1"/>
    <col min="8" max="8" width="14" customWidth="1"/>
  </cols>
  <sheetData>
    <row r="2" spans="2:8" ht="17.45">
      <c r="B2" s="54" t="s">
        <v>151</v>
      </c>
      <c r="C2" s="54"/>
      <c r="D2" s="54"/>
      <c r="E2" s="54"/>
      <c r="F2" s="54"/>
      <c r="G2" s="54"/>
      <c r="H2" s="54"/>
    </row>
    <row r="3" spans="2:8">
      <c r="B3" s="55" t="s">
        <v>152</v>
      </c>
      <c r="C3" s="55"/>
      <c r="D3" s="55"/>
      <c r="E3" s="55"/>
      <c r="F3" s="55"/>
      <c r="G3" s="55"/>
      <c r="H3" s="55"/>
    </row>
    <row r="5" spans="2:8">
      <c r="B5" s="20" t="s">
        <v>123</v>
      </c>
      <c r="C5" s="20" t="s">
        <v>107</v>
      </c>
      <c r="D5" s="20" t="s">
        <v>108</v>
      </c>
      <c r="E5" s="20" t="s">
        <v>109</v>
      </c>
      <c r="F5" s="20" t="s">
        <v>110</v>
      </c>
      <c r="G5" s="20" t="s">
        <v>111</v>
      </c>
      <c r="H5" s="20" t="s">
        <v>153</v>
      </c>
    </row>
    <row r="6" spans="2:8">
      <c r="B6" s="21" t="s">
        <v>30</v>
      </c>
      <c r="C6" s="32">
        <f>'Core Talent Cost'!D14</f>
        <v>40.998000000000005</v>
      </c>
      <c r="D6" s="32">
        <f>'Core Talent Cost'!E14</f>
        <v>105.51600000000001</v>
      </c>
      <c r="E6" s="32">
        <f>'Core Talent Cost'!F14</f>
        <v>176.42499840000002</v>
      </c>
      <c r="F6" s="32">
        <f>'Core Talent Cost'!G14</f>
        <v>211.062226176</v>
      </c>
      <c r="G6" s="32">
        <f>'Core Talent Cost'!H14</f>
        <v>249.31504387584002</v>
      </c>
      <c r="H6" s="38">
        <f>SUM(C6:G6)</f>
        <v>783.31626845184007</v>
      </c>
    </row>
    <row r="7" spans="2:8">
      <c r="B7" s="21" t="s">
        <v>154</v>
      </c>
      <c r="C7" s="32">
        <f>'Infra &amp; Facilities'!D18</f>
        <v>3.894773714285714</v>
      </c>
      <c r="D7" s="32">
        <f>'Infra &amp; Facilities'!E18</f>
        <v>8.381496205714285</v>
      </c>
      <c r="E7" s="32">
        <f>'Infra &amp; Facilities'!F18</f>
        <v>12.509482263085715</v>
      </c>
      <c r="F7" s="32">
        <f>'Infra &amp; Facilities'!G18</f>
        <v>14.052845748749714</v>
      </c>
      <c r="G7" s="32">
        <f>'Infra &amp; Facilities'!H18</f>
        <v>15.622437435474652</v>
      </c>
      <c r="H7" s="38">
        <f>SUM(C7:G7)</f>
        <v>54.461035367310075</v>
      </c>
    </row>
    <row r="8" spans="2:8">
      <c r="B8" s="21" t="s">
        <v>155</v>
      </c>
      <c r="C8" s="32">
        <f>'Infra &amp; Facilities'!D20</f>
        <v>25.8</v>
      </c>
      <c r="D8" s="32">
        <f>'Infra &amp; Facilities'!E20</f>
        <v>10.5</v>
      </c>
      <c r="E8" s="32">
        <f>'Infra &amp; Facilities'!F20</f>
        <v>0</v>
      </c>
      <c r="F8" s="32">
        <f>'Infra &amp; Facilities'!G20</f>
        <v>0</v>
      </c>
      <c r="G8" s="32">
        <f>'Infra &amp; Facilities'!H20</f>
        <v>0</v>
      </c>
      <c r="H8" s="38">
        <f>SUM(C8:G8)</f>
        <v>36.299999999999997</v>
      </c>
    </row>
    <row r="9" spans="2:8">
      <c r="B9" s="21" t="s">
        <v>156</v>
      </c>
      <c r="C9" s="32">
        <f>'Back-office (Ratios)'!D19</f>
        <v>5.15</v>
      </c>
      <c r="D9" s="32">
        <f>'Back-office (Ratios)'!E19</f>
        <v>9.6552000000000007</v>
      </c>
      <c r="E9" s="32">
        <f>'Back-office (Ratios)'!F19</f>
        <v>16.201296000000006</v>
      </c>
      <c r="F9" s="32">
        <f>'Back-office (Ratios)'!G19</f>
        <v>19.248399360000004</v>
      </c>
      <c r="G9" s="32">
        <f>'Back-office (Ratios)'!H19</f>
        <v>23.250756326400008</v>
      </c>
      <c r="H9" s="38">
        <f>SUM(C9:G9)</f>
        <v>73.505651686400014</v>
      </c>
    </row>
    <row r="10" spans="2:8">
      <c r="B10" s="21" t="s">
        <v>157</v>
      </c>
      <c r="C10" s="42">
        <f>SUM(C6:C9)*0.05</f>
        <v>3.7921386857142867</v>
      </c>
      <c r="D10" s="42">
        <f>SUM(D6:D9)*0.05</f>
        <v>6.7026348102857147</v>
      </c>
      <c r="E10" s="42">
        <f>SUM(E6:E9)*0.05</f>
        <v>10.256788833154289</v>
      </c>
      <c r="F10" s="42">
        <f>SUM(F6:F9)*0.05</f>
        <v>12.218173564237487</v>
      </c>
      <c r="G10" s="42">
        <f>SUM(G6:G9)*0.05</f>
        <v>14.409411881885735</v>
      </c>
      <c r="H10" s="38">
        <f>SUM(C10:G10)</f>
        <v>47.379147775277517</v>
      </c>
    </row>
    <row r="11" spans="2:8">
      <c r="B11" s="25" t="s">
        <v>158</v>
      </c>
      <c r="C11" s="33">
        <f>SUM(C6:C10)</f>
        <v>79.634912400000019</v>
      </c>
      <c r="D11" s="33">
        <f>SUM(D6:D10)</f>
        <v>140.75533101599999</v>
      </c>
      <c r="E11" s="33">
        <f>SUM(E6:E10)</f>
        <v>215.39256549624002</v>
      </c>
      <c r="F11" s="33">
        <f>SUM(F6:F10)</f>
        <v>256.5816448489872</v>
      </c>
      <c r="G11" s="33">
        <f>SUM(G6:G10)</f>
        <v>302.5976495196004</v>
      </c>
      <c r="H11" s="33">
        <f>SUM(C11:G11)</f>
        <v>994.96210328082759</v>
      </c>
    </row>
    <row r="12" spans="2:8">
      <c r="B12" s="34" t="s">
        <v>159</v>
      </c>
      <c r="C12" s="35">
        <f>C11*10/Assumptions!$C$6</f>
        <v>7.5842773714285734</v>
      </c>
      <c r="D12" s="35">
        <f>D11*10/Assumptions!$C$6</f>
        <v>13.405269620571428</v>
      </c>
      <c r="E12" s="35">
        <f>E11*10/Assumptions!$C$6</f>
        <v>20.513577666308574</v>
      </c>
      <c r="F12" s="35">
        <f>F11*10/Assumptions!$C$6</f>
        <v>24.436347128474971</v>
      </c>
      <c r="G12" s="35">
        <f>G11*10/Assumptions!$C$6</f>
        <v>28.818823763771469</v>
      </c>
      <c r="H12" s="43">
        <f>SUM(C12:G12)</f>
        <v>94.758295550555005</v>
      </c>
    </row>
    <row r="14" spans="2:8">
      <c r="B14" s="28" t="s">
        <v>160</v>
      </c>
      <c r="C14" s="44">
        <f>'HC Ramp'!D14</f>
        <v>173</v>
      </c>
      <c r="D14" s="44">
        <f>'HC Ramp'!E14</f>
        <v>439</v>
      </c>
      <c r="E14" s="44">
        <f>'HC Ramp'!F14</f>
        <v>694</v>
      </c>
      <c r="F14" s="44">
        <f>'HC Ramp'!G14</f>
        <v>771</v>
      </c>
      <c r="G14" s="44">
        <f>'HC Ramp'!H14</f>
        <v>845</v>
      </c>
    </row>
    <row r="15" spans="2:8">
      <c r="B15" s="28" t="s">
        <v>161</v>
      </c>
      <c r="C15" s="45">
        <f>IF(C14=0,0,C12*1000000/C14)</f>
        <v>43839.75359207268</v>
      </c>
      <c r="D15" s="45">
        <f>IF(D14=0,0,D12*1000000/D14)</f>
        <v>30535.92168695086</v>
      </c>
      <c r="E15" s="45">
        <f>IF(E14=0,0,E12*1000000/E14)</f>
        <v>29558.469259810627</v>
      </c>
      <c r="F15" s="45">
        <f>IF(F14=0,0,F12*1000000/F14)</f>
        <v>31694.354252237314</v>
      </c>
      <c r="G15" s="45">
        <f>IF(G14=0,0,G12*1000000/G14)</f>
        <v>34105.116880202921</v>
      </c>
    </row>
    <row r="17" spans="2:8">
      <c r="B17" s="3" t="s">
        <v>162</v>
      </c>
      <c r="C17" s="3"/>
      <c r="D17" s="3"/>
      <c r="E17" s="3"/>
      <c r="F17" s="3"/>
      <c r="G17" s="3"/>
      <c r="H17" s="3"/>
    </row>
    <row r="18" spans="2:8">
      <c r="B18" s="20" t="s">
        <v>163</v>
      </c>
      <c r="C18" s="20" t="s">
        <v>107</v>
      </c>
      <c r="D18" s="20" t="s">
        <v>108</v>
      </c>
      <c r="E18" s="20" t="s">
        <v>109</v>
      </c>
      <c r="F18" s="20" t="s">
        <v>110</v>
      </c>
      <c r="G18" s="20" t="s">
        <v>111</v>
      </c>
      <c r="H18" s="20" t="s">
        <v>164</v>
      </c>
    </row>
    <row r="19" spans="2:8">
      <c r="B19" s="21" t="s">
        <v>165</v>
      </c>
      <c r="C19" s="46">
        <v>78000</v>
      </c>
      <c r="D19" s="46">
        <v>80730</v>
      </c>
      <c r="E19" s="46">
        <v>83556</v>
      </c>
      <c r="F19" s="46">
        <v>86480</v>
      </c>
      <c r="G19" s="46">
        <v>89507</v>
      </c>
    </row>
    <row r="20" spans="2:8">
      <c r="B20" s="21" t="s">
        <v>166</v>
      </c>
      <c r="C20" s="42">
        <f>C14*C19/1000000</f>
        <v>13.494</v>
      </c>
      <c r="D20" s="42">
        <f>D14*D19/1000000</f>
        <v>35.440469999999998</v>
      </c>
      <c r="E20" s="42">
        <f>E14*E19/1000000</f>
        <v>57.987864000000002</v>
      </c>
      <c r="F20" s="42">
        <f>F14*F19/1000000</f>
        <v>66.676079999999999</v>
      </c>
      <c r="G20" s="42">
        <f>G14*G19/1000000</f>
        <v>75.633414999999999</v>
      </c>
      <c r="H20" s="47">
        <f>SUM(C20:G20)</f>
        <v>249.231829</v>
      </c>
    </row>
    <row r="21" spans="2:8">
      <c r="B21" s="21" t="s">
        <v>167</v>
      </c>
      <c r="C21" s="32">
        <f>C12</f>
        <v>7.5842773714285734</v>
      </c>
      <c r="D21" s="32">
        <f>D12</f>
        <v>13.405269620571428</v>
      </c>
      <c r="E21" s="32">
        <f>E12</f>
        <v>20.513577666308574</v>
      </c>
      <c r="F21" s="32">
        <f>F12</f>
        <v>24.436347128474971</v>
      </c>
      <c r="G21" s="32">
        <f>G12</f>
        <v>28.818823763771469</v>
      </c>
      <c r="H21" s="47">
        <f>SUM(C21:G21)</f>
        <v>94.758295550555005</v>
      </c>
    </row>
    <row r="22" spans="2:8">
      <c r="B22" s="30" t="s">
        <v>168</v>
      </c>
      <c r="C22" s="48">
        <f>C20-C21</f>
        <v>5.9097226285714264</v>
      </c>
      <c r="D22" s="48">
        <f>D20-D21</f>
        <v>22.03520037942857</v>
      </c>
      <c r="E22" s="48">
        <f>E20-E21</f>
        <v>37.474286333691424</v>
      </c>
      <c r="F22" s="48">
        <f>F20-F21</f>
        <v>42.239732871525028</v>
      </c>
      <c r="G22" s="48">
        <f>G20-G21</f>
        <v>46.81459123622853</v>
      </c>
      <c r="H22" s="48">
        <f>SUM(C22:G22)</f>
        <v>154.47353344944497</v>
      </c>
    </row>
    <row r="23" spans="2:8">
      <c r="B23" s="30" t="s">
        <v>169</v>
      </c>
      <c r="C23" s="49">
        <f>IF(C20=0,0,C22/C20)</f>
        <v>0.43795187702470922</v>
      </c>
      <c r="D23" s="49">
        <f>IF(D20=0,0,D22/D20)</f>
        <v>0.62175248746499612</v>
      </c>
      <c r="E23" s="49">
        <f>IF(E20=0,0,E22/E20)</f>
        <v>0.64624360596712827</v>
      </c>
      <c r="F23" s="49">
        <f>IF(F20=0,0,F22/F20)</f>
        <v>0.63350654194915224</v>
      </c>
      <c r="G23" s="49">
        <f>IF(G20=0,0,G22/G20)</f>
        <v>0.61896704302230077</v>
      </c>
      <c r="H23" s="49">
        <f>IF(H20=0,0,H22/H20)</f>
        <v>0.61979857897461788</v>
      </c>
    </row>
  </sheetData>
  <mergeCells count="3">
    <mergeCell ref="B2:H2"/>
    <mergeCell ref="B3:H3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21"/>
  <sheetViews>
    <sheetView showGridLines="0" zoomScaleNormal="100" workbookViewId="0"/>
  </sheetViews>
  <sheetFormatPr defaultColWidth="8.7109375" defaultRowHeight="15"/>
  <cols>
    <col min="1" max="1" width="2" customWidth="1"/>
    <col min="2" max="2" width="34" customWidth="1"/>
    <col min="3" max="5" width="16" customWidth="1"/>
    <col min="6" max="7" width="20" customWidth="1"/>
  </cols>
  <sheetData>
    <row r="2" spans="2:7" ht="17.45">
      <c r="B2" s="54" t="s">
        <v>170</v>
      </c>
      <c r="C2" s="54"/>
      <c r="D2" s="54"/>
      <c r="E2" s="54"/>
      <c r="F2" s="54"/>
      <c r="G2" s="54"/>
    </row>
    <row r="3" spans="2:7">
      <c r="B3" s="55" t="s">
        <v>171</v>
      </c>
      <c r="C3" s="55"/>
      <c r="D3" s="55"/>
      <c r="E3" s="55"/>
      <c r="F3" s="55"/>
      <c r="G3" s="55"/>
    </row>
    <row r="5" spans="2:7" ht="26.85">
      <c r="B5" s="20" t="s">
        <v>172</v>
      </c>
      <c r="C5" s="20" t="s">
        <v>173</v>
      </c>
      <c r="D5" s="20" t="s">
        <v>174</v>
      </c>
      <c r="E5" s="20" t="s">
        <v>175</v>
      </c>
      <c r="F5" s="20" t="s">
        <v>176</v>
      </c>
      <c r="G5" s="20" t="s">
        <v>177</v>
      </c>
    </row>
    <row r="6" spans="2:7">
      <c r="B6" s="21" t="s">
        <v>178</v>
      </c>
      <c r="C6" s="46">
        <v>205</v>
      </c>
      <c r="D6" s="46">
        <v>186</v>
      </c>
      <c r="E6" s="46">
        <v>188</v>
      </c>
      <c r="F6" s="46">
        <v>195</v>
      </c>
      <c r="G6" s="50" t="s">
        <v>179</v>
      </c>
    </row>
    <row r="7" spans="2:7">
      <c r="B7" s="21" t="s">
        <v>180</v>
      </c>
      <c r="C7" s="51" t="s">
        <v>181</v>
      </c>
      <c r="D7" s="51" t="s">
        <v>182</v>
      </c>
      <c r="E7" s="51" t="s">
        <v>183</v>
      </c>
      <c r="F7" s="51" t="s">
        <v>184</v>
      </c>
      <c r="G7" s="50" t="s">
        <v>179</v>
      </c>
    </row>
    <row r="8" spans="2:7">
      <c r="B8" s="21" t="s">
        <v>185</v>
      </c>
      <c r="C8" s="46">
        <v>918</v>
      </c>
      <c r="D8" s="46">
        <v>842</v>
      </c>
      <c r="E8" s="46">
        <v>855</v>
      </c>
      <c r="F8" s="46">
        <v>878</v>
      </c>
      <c r="G8" s="50" t="s">
        <v>179</v>
      </c>
    </row>
    <row r="9" spans="2:7">
      <c r="B9" s="21" t="s">
        <v>186</v>
      </c>
      <c r="C9" s="42">
        <v>96</v>
      </c>
      <c r="D9" s="42">
        <v>87</v>
      </c>
      <c r="E9" s="42">
        <v>82</v>
      </c>
      <c r="F9" s="42">
        <v>94</v>
      </c>
      <c r="G9" s="50" t="s">
        <v>187</v>
      </c>
    </row>
    <row r="10" spans="2:7">
      <c r="B10" s="21" t="s">
        <v>188</v>
      </c>
      <c r="C10" s="42">
        <v>5</v>
      </c>
      <c r="D10" s="42">
        <v>3</v>
      </c>
      <c r="E10" s="42">
        <v>2</v>
      </c>
      <c r="F10" s="42">
        <v>5</v>
      </c>
      <c r="G10" s="50" t="s">
        <v>189</v>
      </c>
    </row>
    <row r="11" spans="2:7">
      <c r="B11" s="21" t="s">
        <v>190</v>
      </c>
      <c r="C11" s="51" t="s">
        <v>191</v>
      </c>
      <c r="D11" s="51" t="s">
        <v>192</v>
      </c>
      <c r="E11" s="51" t="s">
        <v>193</v>
      </c>
      <c r="F11" s="51" t="s">
        <v>194</v>
      </c>
      <c r="G11" s="50" t="s">
        <v>195</v>
      </c>
    </row>
    <row r="12" spans="2:7">
      <c r="B12" s="21" t="s">
        <v>196</v>
      </c>
      <c r="C12" s="42">
        <v>6</v>
      </c>
      <c r="D12" s="42">
        <v>4.5</v>
      </c>
      <c r="E12" s="42">
        <v>5.5</v>
      </c>
      <c r="F12" s="42">
        <v>6</v>
      </c>
      <c r="G12" s="50" t="s">
        <v>179</v>
      </c>
    </row>
    <row r="13" spans="2:7">
      <c r="B13" s="21" t="s">
        <v>197</v>
      </c>
      <c r="C13" s="51" t="s">
        <v>198</v>
      </c>
      <c r="D13" s="51" t="s">
        <v>198</v>
      </c>
      <c r="E13" s="51" t="s">
        <v>198</v>
      </c>
      <c r="F13" s="51" t="s">
        <v>199</v>
      </c>
      <c r="G13" s="50" t="s">
        <v>200</v>
      </c>
    </row>
    <row r="14" spans="2:7">
      <c r="B14" s="21" t="s">
        <v>201</v>
      </c>
      <c r="C14" s="51" t="s">
        <v>202</v>
      </c>
      <c r="D14" s="51" t="s">
        <v>203</v>
      </c>
      <c r="E14" s="51" t="s">
        <v>203</v>
      </c>
      <c r="F14" s="51" t="s">
        <v>204</v>
      </c>
      <c r="G14" s="50" t="s">
        <v>195</v>
      </c>
    </row>
    <row r="15" spans="2:7">
      <c r="B15" s="21" t="s">
        <v>205</v>
      </c>
      <c r="C15" s="51" t="s">
        <v>206</v>
      </c>
      <c r="D15" s="51" t="s">
        <v>207</v>
      </c>
      <c r="E15" s="51" t="s">
        <v>207</v>
      </c>
      <c r="F15" s="51" t="s">
        <v>206</v>
      </c>
      <c r="G15" s="50" t="s">
        <v>189</v>
      </c>
    </row>
    <row r="17" spans="2:7" ht="25.5" customHeight="1">
      <c r="B17" s="2" t="s">
        <v>208</v>
      </c>
      <c r="C17" s="2"/>
      <c r="D17" s="2"/>
      <c r="E17" s="2"/>
      <c r="F17" s="2"/>
      <c r="G17" s="2"/>
    </row>
    <row r="18" spans="2:7" ht="21.75" customHeight="1">
      <c r="B18" s="1" t="s">
        <v>209</v>
      </c>
      <c r="C18" s="1"/>
      <c r="D18" s="1"/>
      <c r="E18" s="1"/>
      <c r="F18" s="1"/>
      <c r="G18" s="1"/>
    </row>
    <row r="19" spans="2:7" ht="21.75" customHeight="1">
      <c r="B19" s="1"/>
      <c r="C19" s="1"/>
      <c r="D19" s="1"/>
      <c r="E19" s="1"/>
      <c r="F19" s="1"/>
      <c r="G19" s="1"/>
    </row>
    <row r="20" spans="2:7" ht="21.75" customHeight="1">
      <c r="B20" s="1"/>
      <c r="C20" s="1"/>
      <c r="D20" s="1"/>
      <c r="E20" s="1"/>
      <c r="F20" s="1"/>
      <c r="G20" s="1"/>
    </row>
    <row r="21" spans="2:7" ht="21.75" customHeight="1">
      <c r="B21" s="1"/>
      <c r="C21" s="1"/>
      <c r="D21" s="1"/>
      <c r="E21" s="1"/>
      <c r="F21" s="1"/>
      <c r="G21" s="1"/>
    </row>
  </sheetData>
  <mergeCells count="4">
    <mergeCell ref="B2:G2"/>
    <mergeCell ref="B3:G3"/>
    <mergeCell ref="B17:G17"/>
    <mergeCell ref="B18:G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 Mathapati</dc:creator>
  <cp:keywords/>
  <dc:description/>
  <cp:lastModifiedBy/>
  <cp:revision>0</cp:revision>
  <dcterms:created xsi:type="dcterms:W3CDTF">2026-07-22T15:46:50Z</dcterms:created>
  <dcterms:modified xsi:type="dcterms:W3CDTF">2026-07-22T15:55:11Z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bb76bd-f6d2-45bc-998e-d6f84e379b20_Enabled">
    <vt:lpwstr>true</vt:lpwstr>
  </property>
  <property fmtid="{D5CDD505-2E9C-101B-9397-08002B2CF9AE}" pid="3" name="MSIP_Label_20bb76bd-f6d2-45bc-998e-d6f84e379b20_SetDate">
    <vt:lpwstr>2026-07-22T15:46:50Z</vt:lpwstr>
  </property>
  <property fmtid="{D5CDD505-2E9C-101B-9397-08002B2CF9AE}" pid="4" name="MSIP_Label_20bb76bd-f6d2-45bc-998e-d6f84e379b20_Method">
    <vt:lpwstr>Standard</vt:lpwstr>
  </property>
  <property fmtid="{D5CDD505-2E9C-101B-9397-08002B2CF9AE}" pid="5" name="MSIP_Label_20bb76bd-f6d2-45bc-998e-d6f84e379b20_Name">
    <vt:lpwstr>Public</vt:lpwstr>
  </property>
  <property fmtid="{D5CDD505-2E9C-101B-9397-08002B2CF9AE}" pid="6" name="MSIP_Label_20bb76bd-f6d2-45bc-998e-d6f84e379b20_SiteId">
    <vt:lpwstr>b08407bb-0b20-4d4c-bba5-89a41710caaa</vt:lpwstr>
  </property>
  <property fmtid="{D5CDD505-2E9C-101B-9397-08002B2CF9AE}" pid="7" name="MSIP_Label_20bb76bd-f6d2-45bc-998e-d6f84e379b20_ActionId">
    <vt:lpwstr>88880208-fee5-4665-9601-ba397324529b</vt:lpwstr>
  </property>
  <property fmtid="{D5CDD505-2E9C-101B-9397-08002B2CF9AE}" pid="8" name="MSIP_Label_20bb76bd-f6d2-45bc-998e-d6f84e379b20_ContentBits">
    <vt:lpwstr>0</vt:lpwstr>
  </property>
</Properties>
</file>