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29771683-734B-4534-B95C-9C909DB4D97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ADME" sheetId="1" r:id="rId1"/>
    <sheet name="Salary Benchmark" sheetId="2" r:id="rId2"/>
    <sheet name="Attrition &amp; Stability" sheetId="3" r:id="rId3"/>
    <sheet name="Talent Pool Availability" sheetId="4" r:id="rId4"/>
    <sheet name="Skill Quality Index" sheetId="5" r:id="rId5"/>
    <sheet name="Recommended Pyramid" sheetId="6" r:id="rId6"/>
    <sheet name="Summary Scorecard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7" l="1"/>
  <c r="E13" i="7"/>
  <c r="D13" i="7"/>
  <c r="G14" i="6"/>
  <c r="F14" i="6"/>
  <c r="E14" i="6"/>
  <c r="D14" i="6"/>
  <c r="H13" i="6"/>
  <c r="H12" i="6"/>
  <c r="H11" i="6"/>
  <c r="H10" i="6"/>
  <c r="H9" i="6"/>
  <c r="H8" i="6"/>
  <c r="H7" i="6"/>
  <c r="H6" i="6"/>
  <c r="H14" i="6" s="1"/>
  <c r="E14" i="5"/>
  <c r="D14" i="5"/>
  <c r="C14" i="5"/>
  <c r="E14" i="4"/>
  <c r="D14" i="4"/>
  <c r="C14" i="4"/>
  <c r="K32" i="2"/>
  <c r="H32" i="2"/>
  <c r="E32" i="2"/>
  <c r="H33" i="2" l="1"/>
  <c r="K33" i="2"/>
  <c r="D16" i="6"/>
  <c r="E16" i="6"/>
  <c r="F16" i="6"/>
  <c r="G16" i="6"/>
</calcChain>
</file>

<file path=xl/sharedStrings.xml><?xml version="1.0" encoding="utf-8"?>
<sst xmlns="http://schemas.openxmlformats.org/spreadsheetml/2006/main" count="295" uniqueCount="132">
  <si>
    <t>GCC Talent Benchmark — Marston &amp; Vale</t>
  </si>
  <si>
    <t>Cities: Bengaluru, Hyderabad, Pune  |  Functions: 6  |  Data window: Aug–Sep 2026</t>
  </si>
  <si>
    <t>Prepared by</t>
  </si>
  <si>
    <t>ANSR Talent Analytics (Anjali Krishnan)</t>
  </si>
  <si>
    <t>Engagement Lead</t>
  </si>
  <si>
    <t>ANSR</t>
  </si>
  <si>
    <t>Version</t>
  </si>
  <si>
    <t>v2.1</t>
  </si>
  <si>
    <t>Last updated</t>
  </si>
  <si>
    <t>22 Sep 2026</t>
  </si>
  <si>
    <t>Data sources</t>
  </si>
  <si>
    <t>ANSR 2026 GCC Talent DB (47 GCCs); Naukri + LinkedIn active-candidate scrape (Aug 2026, deduped n≈612k); ANSR comp panel (n=42 employers)</t>
  </si>
  <si>
    <t>Confidentiality</t>
  </si>
  <si>
    <t>Client Confidential — do not redistribute outside Marston &amp; Vale + ANSR</t>
  </si>
  <si>
    <t>Tab</t>
  </si>
  <si>
    <t>Contents</t>
  </si>
  <si>
    <t>Salary Benchmark</t>
  </si>
  <si>
    <t>Fully-loaded annual comp (INR Lakh) by city × function × experience band</t>
  </si>
  <si>
    <t>Attrition &amp; Stability</t>
  </si>
  <si>
    <t>Attrition %, avg tenure, offer-to-join by city × function</t>
  </si>
  <si>
    <t>Talent Pool Availability</t>
  </si>
  <si>
    <t>Active-candidate pool size and hiring lead time</t>
  </si>
  <si>
    <t>Skill Quality Index</t>
  </si>
  <si>
    <t>Skill-adjusted quality index (Blr=100 baseline)</t>
  </si>
  <si>
    <t>Recommended Pyramid</t>
  </si>
  <si>
    <t>Target headcount by city × function × band (Y3 steady-state)</t>
  </si>
  <si>
    <t>Summary Scorecard</t>
  </si>
  <si>
    <t>City comparison summary across all dimensions</t>
  </si>
  <si>
    <t>Key methodology notes</t>
  </si>
  <si>
    <t>• Fully-loaded comp = base + benefits (15%) + variable pay (target 12%) + statutory (2%). Excludes one-time joining bonus.</t>
  </si>
  <si>
    <t>• Attrition = annualised, trailing 12-month, voluntary only. Involuntary excluded.</t>
  </si>
  <si>
    <t>• Active-candidate pool = Naukri + LinkedIn open-to-work, deduplicated by phone+email hash, filtered to relevant role families and cities.</t>
  </si>
  <si>
    <t>• Skill index uses Bengaluru as 100 baseline per function; based on ANSR-scored technical assessments (n=~2,100 candidates) plus employer NPS.</t>
  </si>
  <si>
    <t>• All INR figures in Lakh (1 Lakh = 100,000 INR). USD conversions use 1 USD = 83.5 INR.</t>
  </si>
  <si>
    <t>Fully-loaded annual compensation (INR Lakh)</t>
  </si>
  <si>
    <t>1 Lakh = INR 100,000  |  Includes base + benefits + target variable + statutory  |  Q3 2026 market rates</t>
  </si>
  <si>
    <t>Function</t>
  </si>
  <si>
    <t>Experience Band</t>
  </si>
  <si>
    <t>Bengaluru</t>
  </si>
  <si>
    <t>Hyderabad</t>
  </si>
  <si>
    <t>Pune</t>
  </si>
  <si>
    <t>City Recommendation</t>
  </si>
  <si>
    <t>P25</t>
  </si>
  <si>
    <t>Median</t>
  </si>
  <si>
    <t>P75</t>
  </si>
  <si>
    <t>Product / Platform Engineering</t>
  </si>
  <si>
    <t>L1 (0–3 yrs)</t>
  </si>
  <si>
    <t>Blr</t>
  </si>
  <si>
    <t>L2 (4–8 yrs)</t>
  </si>
  <si>
    <t>Blr / Hyd</t>
  </si>
  <si>
    <t>L3 (9–14 yrs)</t>
  </si>
  <si>
    <t>L4 (15+ yrs)</t>
  </si>
  <si>
    <t>Data / ML / Analytics</t>
  </si>
  <si>
    <t>Cloud &amp; Cybersecurity</t>
  </si>
  <si>
    <t>Finance Ops (R2R/P2P/O2C)</t>
  </si>
  <si>
    <t>HR Ops</t>
  </si>
  <si>
    <t>Pune / Hyd</t>
  </si>
  <si>
    <t>Customer Support (voice+chat)</t>
  </si>
  <si>
    <t>Hyd / Pune</t>
  </si>
  <si>
    <t>Avg Median vs Bengaluru</t>
  </si>
  <si>
    <t>All bands</t>
  </si>
  <si>
    <t>Cost index (Blr = 100)</t>
  </si>
  <si>
    <t>Attrition, tenure &amp; hiring efficiency by city × function</t>
  </si>
  <si>
    <t>Attrition = trailing-12m voluntary only  |  Tenure = median years  |  Offer-to-join = accepted joiners / offers made</t>
  </si>
  <si>
    <t>Metric</t>
  </si>
  <si>
    <t>Best city</t>
  </si>
  <si>
    <t>Industry avg</t>
  </si>
  <si>
    <t>Trend YoY</t>
  </si>
  <si>
    <t>Product / Platform Eng.</t>
  </si>
  <si>
    <t>Attrition %</t>
  </si>
  <si>
    <t>↓ 0.9pp</t>
  </si>
  <si>
    <t>Median tenure (yrs)</t>
  </si>
  <si>
    <t>↑ 0.2yr</t>
  </si>
  <si>
    <t>Offer-to-join %</t>
  </si>
  <si>
    <t>↑ 3pp</t>
  </si>
  <si>
    <t>↓ 0.7pp</t>
  </si>
  <si>
    <t>↑ 0.1yr</t>
  </si>
  <si>
    <t>↑ 2pp</t>
  </si>
  <si>
    <t>↓ 0.5pp</t>
  </si>
  <si>
    <t>Finance Ops</t>
  </si>
  <si>
    <t>↓ 1.1pp</t>
  </si>
  <si>
    <t>↑ 0.3yr</t>
  </si>
  <si>
    <t>↑ 4pp</t>
  </si>
  <si>
    <t>↓ 0.6pp</t>
  </si>
  <si>
    <t>Customer Support</t>
  </si>
  <si>
    <t>↓ 1.4pp</t>
  </si>
  <si>
    <t>Active-candidate pool &amp; hiring lead time</t>
  </si>
  <si>
    <t>Active pool = open-to-work candidates on Naukri + LinkedIn (Aug 2026, deduped). Lead time = target hire → joining.</t>
  </si>
  <si>
    <t>Active pool (candidates)</t>
  </si>
  <si>
    <t>Time-to-hire (weeks, median)</t>
  </si>
  <si>
    <t>Best city (pool × speed)</t>
  </si>
  <si>
    <t>Customer Support (EN)</t>
  </si>
  <si>
    <t>TOTAL pool</t>
  </si>
  <si>
    <t>Skill-adjusted quality index (Bengaluru = 100)</t>
  </si>
  <si>
    <t>Based on ANSR technical assessment scores (n≈2,100) + employer NPS + retention-weighted quality. Higher = better.</t>
  </si>
  <si>
    <t>ANSR view / commentary</t>
  </si>
  <si>
    <t>Blr edge shrinking; Hyd viable for mid-band</t>
  </si>
  <si>
    <t>Blr strongly preferred for L3+ (principal DS)</t>
  </si>
  <si>
    <t>Blr for arch. leadership; Hyd competitive for engineers</t>
  </si>
  <si>
    <t>Pune uniquely deep in Genpact/WNS/Accenture alumni</t>
  </si>
  <si>
    <t>Narrow spread; any city works</t>
  </si>
  <si>
    <t>Hyd best for voice+chat English quality</t>
  </si>
  <si>
    <t>Site Leadership pool</t>
  </si>
  <si>
    <t>Very limited MD-grade GCC leaders outside Blr</t>
  </si>
  <si>
    <t>Blended (weighted by target HC mix)</t>
  </si>
  <si>
    <t>Recommended headcount pyramid — Year 3 steady-state</t>
  </si>
  <si>
    <t>Total steady-state ~720 FTE. Bengaluru primary hub + Pune spoke (Finance Ops + HR Ops CoE).</t>
  </si>
  <si>
    <t>City</t>
  </si>
  <si>
    <t>L1 (0–3)</t>
  </si>
  <si>
    <t>L2 (4–8)</t>
  </si>
  <si>
    <t>L3 (9–14)</t>
  </si>
  <si>
    <t>L4 (15+)</t>
  </si>
  <si>
    <t>Total</t>
  </si>
  <si>
    <t>Site Leadership + PMO</t>
  </si>
  <si>
    <t>HR Ops (CoE)</t>
  </si>
  <si>
    <t>HR Ops (Bengaluru site)</t>
  </si>
  <si>
    <t>TOTAL</t>
  </si>
  <si>
    <t>Mix %</t>
  </si>
  <si>
    <t>City scorecard — talent dimension</t>
  </si>
  <si>
    <t>Scored 1–5 (5 = best). Weights reflect M&amp;V's functional mix and capability-center ambition.</t>
  </si>
  <si>
    <t>Dimension</t>
  </si>
  <si>
    <t>Weight</t>
  </si>
  <si>
    <t>Talent depth / quality (Tech &amp; Data)</t>
  </si>
  <si>
    <t>Talent depth (Finance Ops)</t>
  </si>
  <si>
    <t>Cost (lower = better)</t>
  </si>
  <si>
    <t>Attrition &amp; stability</t>
  </si>
  <si>
    <t>Ecosystem / GCC density</t>
  </si>
  <si>
    <t>Leadership pool availability</t>
  </si>
  <si>
    <t>Speed to operate</t>
  </si>
  <si>
    <t>Weighted total (out of 5)</t>
  </si>
  <si>
    <t>ANSR Recommendation: Bengaluru (primary hub) + Pune (Finance Ops + HR Ops CoE from Year 2)</t>
  </si>
  <si>
    <t>Bengaluru wins on the two dimensions M&amp;V weighted highest — Tech/Data quality and leadership pool. Pune wins clearly on Finance Ops depth, cost and stability, which is why we split it out from Year 2 rather than absorbing it in Bengaluru. Hyderabad is the credible fallback if Bengaluru compensation runs hot.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</si>
</sst>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>
    <font>
      <sz val="11"/>
      <color theme="1"/>
      <name val="Calibri"/>
      <family val="2"/>
      <charset val="1"/>
    </font>
    <font>
      <b/>
      <sz val="20"/>
      <color rgb="FF1F3864"/>
      <name val="Arial"/>
      <charset val="1"/>
    </font>
    <font>
      <i/>
      <sz val="11"/>
      <color rgb="FF80808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i/>
      <sz val="9"/>
      <color rgb="FF808080"/>
      <name val="Arial"/>
      <charset val="1"/>
    </font>
    <font>
      <b/>
      <sz val="14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FFFFFF"/>
      <name val="Arial"/>
      <charset val="1"/>
    </font>
    <font>
      <i/>
      <sz val="10"/>
      <color rgb="FF1F3864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C6E0B4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1" fillId="0" borderId="0" xfId="0" applyFont="1" applyAlignment="1">
      <alignment horizontal="left" vertical="top" wrapText="1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3" fontId="10" fillId="3" borderId="1" xfId="0" applyNumberFormat="1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" fontId="10" fillId="3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/>
    <xf numFmtId="0" fontId="4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6"/>
  <sheetViews>
    <sheetView showGridLines="0" tabSelected="1" zoomScaleNormal="100" workbookViewId="0">
      <selection activeCell="C8" sqref="C8:H8"/>
    </sheetView>
  </sheetViews>
  <sheetFormatPr defaultColWidth="8.7109375" defaultRowHeight="15"/>
  <cols>
    <col min="1" max="1" width="2" customWidth="1"/>
    <col min="2" max="2" width="18" customWidth="1"/>
    <col min="3" max="3" width="22" customWidth="1"/>
    <col min="4" max="8" width="16" customWidth="1"/>
  </cols>
  <sheetData>
    <row r="2" spans="2:8">
      <c r="B2" s="7" t="s">
        <v>0</v>
      </c>
      <c r="C2" s="7"/>
      <c r="D2" s="7"/>
      <c r="E2" s="7"/>
      <c r="F2" s="7"/>
      <c r="G2" s="7"/>
      <c r="H2" s="7"/>
    </row>
    <row r="3" spans="2:8">
      <c r="B3" s="7"/>
      <c r="C3" s="7"/>
      <c r="D3" s="7"/>
      <c r="E3" s="7"/>
      <c r="F3" s="7"/>
      <c r="G3" s="7"/>
      <c r="H3" s="7"/>
    </row>
    <row r="4" spans="2:8">
      <c r="B4" s="40" t="s">
        <v>1</v>
      </c>
      <c r="C4" s="40"/>
      <c r="D4" s="40"/>
      <c r="E4" s="40"/>
      <c r="F4" s="40"/>
      <c r="G4" s="40"/>
      <c r="H4" s="40"/>
    </row>
    <row r="6" spans="2:8">
      <c r="B6" s="8" t="s">
        <v>2</v>
      </c>
      <c r="C6" s="41" t="s">
        <v>3</v>
      </c>
      <c r="D6" s="41"/>
      <c r="E6" s="41"/>
      <c r="F6" s="41"/>
      <c r="G6" s="41"/>
      <c r="H6" s="41"/>
    </row>
    <row r="7" spans="2:8">
      <c r="B7" s="8" t="s">
        <v>4</v>
      </c>
      <c r="C7" s="41" t="s">
        <v>5</v>
      </c>
      <c r="D7" s="41"/>
      <c r="E7" s="41"/>
      <c r="F7" s="41"/>
      <c r="G7" s="41"/>
      <c r="H7" s="41"/>
    </row>
    <row r="8" spans="2:8">
      <c r="B8" s="8" t="s">
        <v>6</v>
      </c>
      <c r="C8" s="41" t="s">
        <v>7</v>
      </c>
      <c r="D8" s="41"/>
      <c r="E8" s="41"/>
      <c r="F8" s="41"/>
      <c r="G8" s="41"/>
      <c r="H8" s="41"/>
    </row>
    <row r="9" spans="2:8">
      <c r="B9" s="8" t="s">
        <v>8</v>
      </c>
      <c r="C9" s="41" t="s">
        <v>9</v>
      </c>
      <c r="D9" s="41"/>
      <c r="E9" s="41"/>
      <c r="F9" s="41"/>
      <c r="G9" s="41"/>
      <c r="H9" s="41"/>
    </row>
    <row r="10" spans="2:8">
      <c r="B10" s="8" t="s">
        <v>10</v>
      </c>
      <c r="C10" s="41" t="s">
        <v>11</v>
      </c>
      <c r="D10" s="41"/>
      <c r="E10" s="41"/>
      <c r="F10" s="41"/>
      <c r="G10" s="41"/>
      <c r="H10" s="41"/>
    </row>
    <row r="11" spans="2:8">
      <c r="B11" s="8" t="s">
        <v>12</v>
      </c>
      <c r="C11" s="41" t="s">
        <v>13</v>
      </c>
      <c r="D11" s="41"/>
      <c r="E11" s="41"/>
      <c r="F11" s="41"/>
      <c r="G11" s="41"/>
      <c r="H11" s="41"/>
    </row>
    <row r="13" spans="2:8" ht="15" customHeight="1">
      <c r="B13" s="9" t="s">
        <v>14</v>
      </c>
      <c r="C13" s="6" t="s">
        <v>15</v>
      </c>
      <c r="D13" s="6"/>
      <c r="E13" s="6"/>
      <c r="F13" s="6"/>
      <c r="G13" s="6"/>
      <c r="H13" s="6"/>
    </row>
    <row r="14" spans="2:8" ht="15" customHeight="1">
      <c r="B14" s="10" t="s">
        <v>16</v>
      </c>
      <c r="C14" s="5" t="s">
        <v>17</v>
      </c>
      <c r="D14" s="5"/>
      <c r="E14" s="5"/>
      <c r="F14" s="5"/>
      <c r="G14" s="5"/>
      <c r="H14" s="5"/>
    </row>
    <row r="15" spans="2:8" ht="15" customHeight="1">
      <c r="B15" s="10" t="s">
        <v>18</v>
      </c>
      <c r="C15" s="5" t="s">
        <v>19</v>
      </c>
      <c r="D15" s="5"/>
      <c r="E15" s="5"/>
      <c r="F15" s="5"/>
      <c r="G15" s="5"/>
      <c r="H15" s="5"/>
    </row>
    <row r="16" spans="2:8" ht="23.85" customHeight="1">
      <c r="B16" s="10" t="s">
        <v>20</v>
      </c>
      <c r="C16" s="5" t="s">
        <v>21</v>
      </c>
      <c r="D16" s="5"/>
      <c r="E16" s="5"/>
      <c r="F16" s="5"/>
      <c r="G16" s="5"/>
      <c r="H16" s="5"/>
    </row>
    <row r="17" spans="2:8" ht="15" customHeight="1">
      <c r="B17" s="10" t="s">
        <v>22</v>
      </c>
      <c r="C17" s="5" t="s">
        <v>23</v>
      </c>
      <c r="D17" s="5"/>
      <c r="E17" s="5"/>
      <c r="F17" s="5"/>
      <c r="G17" s="5"/>
      <c r="H17" s="5"/>
    </row>
    <row r="18" spans="2:8" ht="23.85" customHeight="1">
      <c r="B18" s="10" t="s">
        <v>24</v>
      </c>
      <c r="C18" s="5" t="s">
        <v>25</v>
      </c>
      <c r="D18" s="5"/>
      <c r="E18" s="5"/>
      <c r="F18" s="5"/>
      <c r="G18" s="5"/>
      <c r="H18" s="5"/>
    </row>
    <row r="19" spans="2:8" ht="23.85" customHeight="1">
      <c r="B19" s="10" t="s">
        <v>26</v>
      </c>
      <c r="C19" s="5" t="s">
        <v>27</v>
      </c>
      <c r="D19" s="5"/>
      <c r="E19" s="5"/>
      <c r="F19" s="5"/>
      <c r="G19" s="5"/>
      <c r="H19" s="5"/>
    </row>
    <row r="21" spans="2:8">
      <c r="B21" s="12" t="s">
        <v>28</v>
      </c>
    </row>
    <row r="22" spans="2:8">
      <c r="B22" s="42" t="s">
        <v>29</v>
      </c>
      <c r="C22" s="42"/>
      <c r="D22" s="42"/>
      <c r="E22" s="42"/>
      <c r="F22" s="42"/>
      <c r="G22" s="42"/>
      <c r="H22" s="42"/>
    </row>
    <row r="23" spans="2:8">
      <c r="B23" s="42" t="s">
        <v>30</v>
      </c>
      <c r="C23" s="42"/>
      <c r="D23" s="42"/>
      <c r="E23" s="42"/>
      <c r="F23" s="42"/>
      <c r="G23" s="42"/>
      <c r="H23" s="42"/>
    </row>
    <row r="24" spans="2:8">
      <c r="B24" s="42" t="s">
        <v>31</v>
      </c>
      <c r="C24" s="42"/>
      <c r="D24" s="42"/>
      <c r="E24" s="42"/>
      <c r="F24" s="42"/>
      <c r="G24" s="42"/>
      <c r="H24" s="42"/>
    </row>
    <row r="25" spans="2:8">
      <c r="B25" s="42" t="s">
        <v>32</v>
      </c>
      <c r="C25" s="42"/>
      <c r="D25" s="42"/>
      <c r="E25" s="42"/>
      <c r="F25" s="42"/>
      <c r="G25" s="42"/>
      <c r="H25" s="42"/>
    </row>
    <row r="26" spans="2:8">
      <c r="B26" s="42" t="s">
        <v>33</v>
      </c>
      <c r="C26" s="42"/>
      <c r="D26" s="42"/>
      <c r="E26" s="42"/>
      <c r="F26" s="42"/>
      <c r="G26" s="42"/>
      <c r="H26" s="42"/>
    </row>
  </sheetData>
  <mergeCells count="20">
    <mergeCell ref="B22:H22"/>
    <mergeCell ref="B23:H23"/>
    <mergeCell ref="B24:H24"/>
    <mergeCell ref="B25:H25"/>
    <mergeCell ref="B26:H26"/>
    <mergeCell ref="C15:H15"/>
    <mergeCell ref="C16:H16"/>
    <mergeCell ref="C17:H17"/>
    <mergeCell ref="C18:H18"/>
    <mergeCell ref="C19:H19"/>
    <mergeCell ref="C9:H9"/>
    <mergeCell ref="C10:H10"/>
    <mergeCell ref="C11:H11"/>
    <mergeCell ref="C13:H13"/>
    <mergeCell ref="C14:H14"/>
    <mergeCell ref="B2:H3"/>
    <mergeCell ref="B4:H4"/>
    <mergeCell ref="C6:H6"/>
    <mergeCell ref="C7:H7"/>
    <mergeCell ref="C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3"/>
  <sheetViews>
    <sheetView showGridLines="0" zoomScaleNormal="100" workbookViewId="0"/>
  </sheetViews>
  <sheetFormatPr defaultColWidth="8.7109375" defaultRowHeight="15"/>
  <cols>
    <col min="1" max="1" width="2" customWidth="1"/>
    <col min="2" max="2" width="32" customWidth="1"/>
    <col min="3" max="3" width="18" customWidth="1"/>
    <col min="4" max="12" width="10" customWidth="1"/>
    <col min="13" max="13" width="18" customWidth="1"/>
  </cols>
  <sheetData>
    <row r="2" spans="2:13" ht="17.45">
      <c r="B2" s="4" t="s">
        <v>34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2:13">
      <c r="B3" s="42" t="s">
        <v>35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5" spans="2:13" ht="21.75" customHeight="1">
      <c r="B5" s="13" t="s">
        <v>36</v>
      </c>
      <c r="C5" s="13" t="s">
        <v>37</v>
      </c>
      <c r="D5" s="3" t="s">
        <v>38</v>
      </c>
      <c r="E5" s="3"/>
      <c r="F5" s="3"/>
      <c r="G5" s="3" t="s">
        <v>39</v>
      </c>
      <c r="H5" s="3"/>
      <c r="I5" s="3"/>
      <c r="J5" s="3" t="s">
        <v>40</v>
      </c>
      <c r="K5" s="3"/>
      <c r="L5" s="3"/>
      <c r="M5" s="13" t="s">
        <v>41</v>
      </c>
    </row>
    <row r="6" spans="2:13" ht="19.5" customHeight="1">
      <c r="D6" s="14" t="s">
        <v>42</v>
      </c>
      <c r="E6" s="14" t="s">
        <v>43</v>
      </c>
      <c r="F6" s="14" t="s">
        <v>44</v>
      </c>
      <c r="G6" s="14" t="s">
        <v>42</v>
      </c>
      <c r="H6" s="14" t="s">
        <v>43</v>
      </c>
      <c r="I6" s="14" t="s">
        <v>44</v>
      </c>
      <c r="J6" s="14" t="s">
        <v>42</v>
      </c>
      <c r="K6" s="14" t="s">
        <v>43</v>
      </c>
      <c r="L6" s="14" t="s">
        <v>44</v>
      </c>
    </row>
    <row r="7" spans="2:13">
      <c r="B7" s="10" t="s">
        <v>45</v>
      </c>
      <c r="C7" s="11" t="s">
        <v>46</v>
      </c>
      <c r="D7" s="15">
        <v>11.5</v>
      </c>
      <c r="E7" s="16">
        <v>14.2</v>
      </c>
      <c r="F7" s="15">
        <v>17.8</v>
      </c>
      <c r="G7" s="15">
        <v>9.4</v>
      </c>
      <c r="H7" s="16">
        <v>11.6</v>
      </c>
      <c r="I7" s="15">
        <v>14.5</v>
      </c>
      <c r="J7" s="15">
        <v>9.6</v>
      </c>
      <c r="K7" s="16">
        <v>11.8</v>
      </c>
      <c r="L7" s="15">
        <v>14.8</v>
      </c>
      <c r="M7" s="17" t="s">
        <v>47</v>
      </c>
    </row>
    <row r="8" spans="2:13">
      <c r="B8" s="10" t="s">
        <v>45</v>
      </c>
      <c r="C8" s="11" t="s">
        <v>48</v>
      </c>
      <c r="D8" s="15">
        <v>24</v>
      </c>
      <c r="E8" s="16">
        <v>30.5</v>
      </c>
      <c r="F8" s="15">
        <v>38</v>
      </c>
      <c r="G8" s="15">
        <v>20.5</v>
      </c>
      <c r="H8" s="16">
        <v>25.8</v>
      </c>
      <c r="I8" s="15">
        <v>32</v>
      </c>
      <c r="J8" s="15">
        <v>21</v>
      </c>
      <c r="K8" s="16">
        <v>26.2</v>
      </c>
      <c r="L8" s="15">
        <v>32.5</v>
      </c>
      <c r="M8" s="17" t="s">
        <v>49</v>
      </c>
    </row>
    <row r="9" spans="2:13">
      <c r="B9" s="10" t="s">
        <v>45</v>
      </c>
      <c r="C9" s="11" t="s">
        <v>50</v>
      </c>
      <c r="D9" s="15">
        <v>46</v>
      </c>
      <c r="E9" s="16">
        <v>58</v>
      </c>
      <c r="F9" s="15">
        <v>74</v>
      </c>
      <c r="G9" s="15">
        <v>39</v>
      </c>
      <c r="H9" s="16">
        <v>49</v>
      </c>
      <c r="I9" s="15">
        <v>62</v>
      </c>
      <c r="J9" s="15">
        <v>40</v>
      </c>
      <c r="K9" s="16">
        <v>50</v>
      </c>
      <c r="L9" s="15">
        <v>63</v>
      </c>
      <c r="M9" s="17" t="s">
        <v>47</v>
      </c>
    </row>
    <row r="10" spans="2:13">
      <c r="B10" s="10" t="s">
        <v>45</v>
      </c>
      <c r="C10" s="11" t="s">
        <v>51</v>
      </c>
      <c r="D10" s="15">
        <v>85</v>
      </c>
      <c r="E10" s="16">
        <v>110</v>
      </c>
      <c r="F10" s="15">
        <v>145</v>
      </c>
      <c r="G10" s="15">
        <v>72</v>
      </c>
      <c r="H10" s="16">
        <v>92</v>
      </c>
      <c r="I10" s="15">
        <v>118</v>
      </c>
      <c r="J10" s="15">
        <v>74</v>
      </c>
      <c r="K10" s="16">
        <v>94</v>
      </c>
      <c r="L10" s="15">
        <v>120</v>
      </c>
      <c r="M10" s="17" t="s">
        <v>47</v>
      </c>
    </row>
    <row r="11" spans="2:13">
      <c r="B11" s="10" t="s">
        <v>52</v>
      </c>
      <c r="C11" s="11" t="s">
        <v>46</v>
      </c>
      <c r="D11" s="15">
        <v>13.5</v>
      </c>
      <c r="E11" s="16">
        <v>16.8</v>
      </c>
      <c r="F11" s="15">
        <v>20.5</v>
      </c>
      <c r="G11" s="15">
        <v>10.8</v>
      </c>
      <c r="H11" s="16">
        <v>13.4</v>
      </c>
      <c r="I11" s="15">
        <v>16.600000000000001</v>
      </c>
      <c r="J11" s="15">
        <v>10.5</v>
      </c>
      <c r="K11" s="16">
        <v>13</v>
      </c>
      <c r="L11" s="15">
        <v>16</v>
      </c>
      <c r="M11" s="17" t="s">
        <v>47</v>
      </c>
    </row>
    <row r="12" spans="2:13">
      <c r="B12" s="10" t="s">
        <v>52</v>
      </c>
      <c r="C12" s="11" t="s">
        <v>48</v>
      </c>
      <c r="D12" s="15">
        <v>28</v>
      </c>
      <c r="E12" s="16">
        <v>36</v>
      </c>
      <c r="F12" s="15">
        <v>46</v>
      </c>
      <c r="G12" s="15">
        <v>22.5</v>
      </c>
      <c r="H12" s="16">
        <v>28.8</v>
      </c>
      <c r="I12" s="15">
        <v>36.5</v>
      </c>
      <c r="J12" s="15">
        <v>22</v>
      </c>
      <c r="K12" s="16">
        <v>28</v>
      </c>
      <c r="L12" s="15">
        <v>35</v>
      </c>
      <c r="M12" s="17" t="s">
        <v>47</v>
      </c>
    </row>
    <row r="13" spans="2:13">
      <c r="B13" s="10" t="s">
        <v>52</v>
      </c>
      <c r="C13" s="11" t="s">
        <v>50</v>
      </c>
      <c r="D13" s="15">
        <v>54</v>
      </c>
      <c r="E13" s="16">
        <v>72</v>
      </c>
      <c r="F13" s="15">
        <v>92</v>
      </c>
      <c r="G13" s="15">
        <v>44</v>
      </c>
      <c r="H13" s="16">
        <v>56</v>
      </c>
      <c r="I13" s="15">
        <v>72</v>
      </c>
      <c r="J13" s="15">
        <v>42</v>
      </c>
      <c r="K13" s="16">
        <v>54</v>
      </c>
      <c r="L13" s="15">
        <v>68</v>
      </c>
      <c r="M13" s="17" t="s">
        <v>47</v>
      </c>
    </row>
    <row r="14" spans="2:13">
      <c r="B14" s="10" t="s">
        <v>52</v>
      </c>
      <c r="C14" s="11" t="s">
        <v>51</v>
      </c>
      <c r="D14" s="15">
        <v>105</v>
      </c>
      <c r="E14" s="16">
        <v>135</v>
      </c>
      <c r="F14" s="15">
        <v>180</v>
      </c>
      <c r="G14" s="15">
        <v>82</v>
      </c>
      <c r="H14" s="16">
        <v>105</v>
      </c>
      <c r="I14" s="15">
        <v>138</v>
      </c>
      <c r="J14" s="15">
        <v>78</v>
      </c>
      <c r="K14" s="16">
        <v>100</v>
      </c>
      <c r="L14" s="15">
        <v>130</v>
      </c>
      <c r="M14" s="17" t="s">
        <v>47</v>
      </c>
    </row>
    <row r="15" spans="2:13">
      <c r="B15" s="10" t="s">
        <v>53</v>
      </c>
      <c r="C15" s="11" t="s">
        <v>46</v>
      </c>
      <c r="D15" s="15">
        <v>12</v>
      </c>
      <c r="E15" s="16">
        <v>14.8</v>
      </c>
      <c r="F15" s="15">
        <v>18.2</v>
      </c>
      <c r="G15" s="15">
        <v>9.8000000000000007</v>
      </c>
      <c r="H15" s="16">
        <v>12.2</v>
      </c>
      <c r="I15" s="15">
        <v>15</v>
      </c>
      <c r="J15" s="15">
        <v>9.8000000000000007</v>
      </c>
      <c r="K15" s="16">
        <v>12</v>
      </c>
      <c r="L15" s="15">
        <v>14.8</v>
      </c>
      <c r="M15" s="17" t="s">
        <v>49</v>
      </c>
    </row>
    <row r="16" spans="2:13">
      <c r="B16" s="10" t="s">
        <v>53</v>
      </c>
      <c r="C16" s="11" t="s">
        <v>48</v>
      </c>
      <c r="D16" s="15">
        <v>26</v>
      </c>
      <c r="E16" s="16">
        <v>33</v>
      </c>
      <c r="F16" s="15">
        <v>41.5</v>
      </c>
      <c r="G16" s="15">
        <v>22</v>
      </c>
      <c r="H16" s="16">
        <v>27.5</v>
      </c>
      <c r="I16" s="15">
        <v>34.5</v>
      </c>
      <c r="J16" s="15">
        <v>21.5</v>
      </c>
      <c r="K16" s="16">
        <v>27</v>
      </c>
      <c r="L16" s="15">
        <v>33.5</v>
      </c>
      <c r="M16" s="17" t="s">
        <v>49</v>
      </c>
    </row>
    <row r="17" spans="2:13">
      <c r="B17" s="10" t="s">
        <v>53</v>
      </c>
      <c r="C17" s="11" t="s">
        <v>50</v>
      </c>
      <c r="D17" s="15">
        <v>50</v>
      </c>
      <c r="E17" s="16">
        <v>64</v>
      </c>
      <c r="F17" s="15">
        <v>82</v>
      </c>
      <c r="G17" s="15">
        <v>42</v>
      </c>
      <c r="H17" s="16">
        <v>53</v>
      </c>
      <c r="I17" s="15">
        <v>68</v>
      </c>
      <c r="J17" s="15">
        <v>41</v>
      </c>
      <c r="K17" s="16">
        <v>52</v>
      </c>
      <c r="L17" s="15">
        <v>66</v>
      </c>
      <c r="M17" s="17" t="s">
        <v>47</v>
      </c>
    </row>
    <row r="18" spans="2:13">
      <c r="B18" s="10" t="s">
        <v>53</v>
      </c>
      <c r="C18" s="11" t="s">
        <v>51</v>
      </c>
      <c r="D18" s="15">
        <v>92</v>
      </c>
      <c r="E18" s="16">
        <v>118</v>
      </c>
      <c r="F18" s="15">
        <v>152</v>
      </c>
      <c r="G18" s="15">
        <v>76</v>
      </c>
      <c r="H18" s="16">
        <v>98</v>
      </c>
      <c r="I18" s="15">
        <v>126</v>
      </c>
      <c r="J18" s="15">
        <v>74</v>
      </c>
      <c r="K18" s="16">
        <v>95</v>
      </c>
      <c r="L18" s="15">
        <v>122</v>
      </c>
      <c r="M18" s="17" t="s">
        <v>47</v>
      </c>
    </row>
    <row r="19" spans="2:13">
      <c r="B19" s="10" t="s">
        <v>54</v>
      </c>
      <c r="C19" s="11" t="s">
        <v>46</v>
      </c>
      <c r="D19" s="15">
        <v>6.8</v>
      </c>
      <c r="E19" s="16">
        <v>8.4</v>
      </c>
      <c r="F19" s="15">
        <v>10.5</v>
      </c>
      <c r="G19" s="15">
        <v>5.8</v>
      </c>
      <c r="H19" s="16">
        <v>7.2</v>
      </c>
      <c r="I19" s="15">
        <v>9</v>
      </c>
      <c r="J19" s="15">
        <v>5.6</v>
      </c>
      <c r="K19" s="16">
        <v>6.9</v>
      </c>
      <c r="L19" s="15">
        <v>8.6</v>
      </c>
      <c r="M19" s="17" t="s">
        <v>40</v>
      </c>
    </row>
    <row r="20" spans="2:13">
      <c r="B20" s="10" t="s">
        <v>54</v>
      </c>
      <c r="C20" s="11" t="s">
        <v>48</v>
      </c>
      <c r="D20" s="15">
        <v>14.5</v>
      </c>
      <c r="E20" s="16">
        <v>18.399999999999999</v>
      </c>
      <c r="F20" s="15">
        <v>23</v>
      </c>
      <c r="G20" s="15">
        <v>12</v>
      </c>
      <c r="H20" s="16">
        <v>15.2</v>
      </c>
      <c r="I20" s="15">
        <v>19.2</v>
      </c>
      <c r="J20" s="15">
        <v>11.6</v>
      </c>
      <c r="K20" s="16">
        <v>14.8</v>
      </c>
      <c r="L20" s="15">
        <v>18.600000000000001</v>
      </c>
      <c r="M20" s="17" t="s">
        <v>40</v>
      </c>
    </row>
    <row r="21" spans="2:13">
      <c r="B21" s="10" t="s">
        <v>54</v>
      </c>
      <c r="C21" s="11" t="s">
        <v>50</v>
      </c>
      <c r="D21" s="15">
        <v>30</v>
      </c>
      <c r="E21" s="16">
        <v>38</v>
      </c>
      <c r="F21" s="15">
        <v>48.5</v>
      </c>
      <c r="G21" s="15">
        <v>25</v>
      </c>
      <c r="H21" s="16">
        <v>32</v>
      </c>
      <c r="I21" s="15">
        <v>41</v>
      </c>
      <c r="J21" s="15">
        <v>24</v>
      </c>
      <c r="K21" s="16">
        <v>30.5</v>
      </c>
      <c r="L21" s="15">
        <v>39</v>
      </c>
      <c r="M21" s="17" t="s">
        <v>40</v>
      </c>
    </row>
    <row r="22" spans="2:13">
      <c r="B22" s="10" t="s">
        <v>54</v>
      </c>
      <c r="C22" s="11" t="s">
        <v>51</v>
      </c>
      <c r="D22" s="15">
        <v>58</v>
      </c>
      <c r="E22" s="16">
        <v>74</v>
      </c>
      <c r="F22" s="15">
        <v>95</v>
      </c>
      <c r="G22" s="15">
        <v>48</v>
      </c>
      <c r="H22" s="16">
        <v>62</v>
      </c>
      <c r="I22" s="15">
        <v>80</v>
      </c>
      <c r="J22" s="15">
        <v>46</v>
      </c>
      <c r="K22" s="16">
        <v>59</v>
      </c>
      <c r="L22" s="15">
        <v>76</v>
      </c>
      <c r="M22" s="17" t="s">
        <v>40</v>
      </c>
    </row>
    <row r="23" spans="2:13">
      <c r="B23" s="10" t="s">
        <v>55</v>
      </c>
      <c r="C23" s="11" t="s">
        <v>46</v>
      </c>
      <c r="D23" s="15">
        <v>5.6</v>
      </c>
      <c r="E23" s="16">
        <v>7</v>
      </c>
      <c r="F23" s="15">
        <v>8.8000000000000007</v>
      </c>
      <c r="G23" s="15">
        <v>4.8</v>
      </c>
      <c r="H23" s="16">
        <v>6</v>
      </c>
      <c r="I23" s="15">
        <v>7.5</v>
      </c>
      <c r="J23" s="15">
        <v>4.9000000000000004</v>
      </c>
      <c r="K23" s="16">
        <v>6.1</v>
      </c>
      <c r="L23" s="15">
        <v>7.6</v>
      </c>
      <c r="M23" s="17" t="s">
        <v>56</v>
      </c>
    </row>
    <row r="24" spans="2:13">
      <c r="B24" s="10" t="s">
        <v>55</v>
      </c>
      <c r="C24" s="11" t="s">
        <v>48</v>
      </c>
      <c r="D24" s="15">
        <v>12</v>
      </c>
      <c r="E24" s="16">
        <v>15.2</v>
      </c>
      <c r="F24" s="15">
        <v>19</v>
      </c>
      <c r="G24" s="15">
        <v>9.8000000000000007</v>
      </c>
      <c r="H24" s="16">
        <v>12.5</v>
      </c>
      <c r="I24" s="15">
        <v>15.8</v>
      </c>
      <c r="J24" s="15">
        <v>9.9</v>
      </c>
      <c r="K24" s="16">
        <v>12.6</v>
      </c>
      <c r="L24" s="15">
        <v>15.9</v>
      </c>
      <c r="M24" s="17" t="s">
        <v>56</v>
      </c>
    </row>
    <row r="25" spans="2:13">
      <c r="B25" s="10" t="s">
        <v>55</v>
      </c>
      <c r="C25" s="11" t="s">
        <v>50</v>
      </c>
      <c r="D25" s="15">
        <v>25</v>
      </c>
      <c r="E25" s="16">
        <v>32</v>
      </c>
      <c r="F25" s="15">
        <v>41</v>
      </c>
      <c r="G25" s="15">
        <v>20</v>
      </c>
      <c r="H25" s="16">
        <v>26</v>
      </c>
      <c r="I25" s="15">
        <v>33.5</v>
      </c>
      <c r="J25" s="15">
        <v>20.5</v>
      </c>
      <c r="K25" s="16">
        <v>26.5</v>
      </c>
      <c r="L25" s="15">
        <v>34</v>
      </c>
      <c r="M25" s="17" t="s">
        <v>56</v>
      </c>
    </row>
    <row r="26" spans="2:13">
      <c r="B26" s="10" t="s">
        <v>55</v>
      </c>
      <c r="C26" s="11" t="s">
        <v>51</v>
      </c>
      <c r="D26" s="15">
        <v>48</v>
      </c>
      <c r="E26" s="16">
        <v>62</v>
      </c>
      <c r="F26" s="15">
        <v>80</v>
      </c>
      <c r="G26" s="15">
        <v>39</v>
      </c>
      <c r="H26" s="16">
        <v>51</v>
      </c>
      <c r="I26" s="15">
        <v>66</v>
      </c>
      <c r="J26" s="15">
        <v>40</v>
      </c>
      <c r="K26" s="16">
        <v>52</v>
      </c>
      <c r="L26" s="15">
        <v>67</v>
      </c>
      <c r="M26" s="17" t="s">
        <v>56</v>
      </c>
    </row>
    <row r="27" spans="2:13">
      <c r="B27" s="10" t="s">
        <v>57</v>
      </c>
      <c r="C27" s="11" t="s">
        <v>46</v>
      </c>
      <c r="D27" s="15">
        <v>4.5</v>
      </c>
      <c r="E27" s="16">
        <v>5.6</v>
      </c>
      <c r="F27" s="15">
        <v>7</v>
      </c>
      <c r="G27" s="15">
        <v>4</v>
      </c>
      <c r="H27" s="16">
        <v>5</v>
      </c>
      <c r="I27" s="15">
        <v>6.2</v>
      </c>
      <c r="J27" s="15">
        <v>4.0999999999999996</v>
      </c>
      <c r="K27" s="16">
        <v>5.0999999999999996</v>
      </c>
      <c r="L27" s="15">
        <v>6.4</v>
      </c>
      <c r="M27" s="17" t="s">
        <v>58</v>
      </c>
    </row>
    <row r="28" spans="2:13">
      <c r="B28" s="10" t="s">
        <v>57</v>
      </c>
      <c r="C28" s="11" t="s">
        <v>48</v>
      </c>
      <c r="D28" s="15">
        <v>9.5</v>
      </c>
      <c r="E28" s="16">
        <v>12</v>
      </c>
      <c r="F28" s="15">
        <v>15</v>
      </c>
      <c r="G28" s="15">
        <v>8.1999999999999993</v>
      </c>
      <c r="H28" s="16">
        <v>10.4</v>
      </c>
      <c r="I28" s="15">
        <v>13</v>
      </c>
      <c r="J28" s="15">
        <v>8.4</v>
      </c>
      <c r="K28" s="16">
        <v>10.6</v>
      </c>
      <c r="L28" s="15">
        <v>13.3</v>
      </c>
      <c r="M28" s="17" t="s">
        <v>58</v>
      </c>
    </row>
    <row r="29" spans="2:13">
      <c r="B29" s="10" t="s">
        <v>57</v>
      </c>
      <c r="C29" s="11" t="s">
        <v>50</v>
      </c>
      <c r="D29" s="15">
        <v>20</v>
      </c>
      <c r="E29" s="16">
        <v>25.5</v>
      </c>
      <c r="F29" s="15">
        <v>32.5</v>
      </c>
      <c r="G29" s="15">
        <v>17</v>
      </c>
      <c r="H29" s="16">
        <v>21.5</v>
      </c>
      <c r="I29" s="15">
        <v>27.5</v>
      </c>
      <c r="J29" s="15">
        <v>17.5</v>
      </c>
      <c r="K29" s="16">
        <v>22</v>
      </c>
      <c r="L29" s="15">
        <v>28</v>
      </c>
      <c r="M29" s="17" t="s">
        <v>58</v>
      </c>
    </row>
    <row r="30" spans="2:13">
      <c r="B30" s="10" t="s">
        <v>57</v>
      </c>
      <c r="C30" s="11" t="s">
        <v>51</v>
      </c>
      <c r="D30" s="15">
        <v>40</v>
      </c>
      <c r="E30" s="16">
        <v>52</v>
      </c>
      <c r="F30" s="15">
        <v>68</v>
      </c>
      <c r="G30" s="15">
        <v>34</v>
      </c>
      <c r="H30" s="16">
        <v>44</v>
      </c>
      <c r="I30" s="15">
        <v>57</v>
      </c>
      <c r="J30" s="15">
        <v>35</v>
      </c>
      <c r="K30" s="16">
        <v>45</v>
      </c>
      <c r="L30" s="15">
        <v>58</v>
      </c>
      <c r="M30" s="17" t="s">
        <v>58</v>
      </c>
    </row>
    <row r="32" spans="2:13">
      <c r="B32" s="18" t="s">
        <v>59</v>
      </c>
      <c r="C32" s="19" t="s">
        <v>60</v>
      </c>
      <c r="E32" s="20">
        <f>AVERAGE(E7:E30)</f>
        <v>43.85</v>
      </c>
      <c r="H32" s="20">
        <f>AVERAGE(H7:H30)</f>
        <v>36.045833333333334</v>
      </c>
      <c r="K32" s="20">
        <f>AVERAGE(K7:K30)</f>
        <v>35.587499999999999</v>
      </c>
    </row>
    <row r="33" spans="2:11">
      <c r="B33" s="21" t="s">
        <v>61</v>
      </c>
      <c r="C33" s="22"/>
      <c r="E33" s="23">
        <v>100</v>
      </c>
      <c r="H33" s="23">
        <f>ROUND(H32/E32*100,0)</f>
        <v>82</v>
      </c>
      <c r="K33" s="23">
        <f>ROUND(K32/E32*100,0)</f>
        <v>81</v>
      </c>
    </row>
  </sheetData>
  <mergeCells count="5">
    <mergeCell ref="B2:M2"/>
    <mergeCell ref="B3:M3"/>
    <mergeCell ref="D5:F5"/>
    <mergeCell ref="G5:I5"/>
    <mergeCell ref="J5:L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3"/>
  <sheetViews>
    <sheetView showGridLines="0" zoomScaleNormal="100" workbookViewId="0"/>
  </sheetViews>
  <sheetFormatPr defaultColWidth="8.7109375" defaultRowHeight="15"/>
  <cols>
    <col min="1" max="1" width="2" customWidth="1"/>
    <col min="2" max="2" width="28" customWidth="1"/>
    <col min="3" max="3" width="22" customWidth="1"/>
    <col min="4" max="7" width="12" customWidth="1"/>
    <col min="8" max="9" width="14" customWidth="1"/>
  </cols>
  <sheetData>
    <row r="2" spans="2:10" ht="17.45">
      <c r="B2" s="43" t="s">
        <v>62</v>
      </c>
      <c r="C2" s="43"/>
      <c r="D2" s="43"/>
      <c r="E2" s="43"/>
      <c r="F2" s="43"/>
      <c r="G2" s="43"/>
      <c r="H2" s="43"/>
      <c r="I2" s="43"/>
      <c r="J2" s="43"/>
    </row>
    <row r="3" spans="2:10">
      <c r="B3" s="42" t="s">
        <v>63</v>
      </c>
      <c r="C3" s="42"/>
      <c r="D3" s="42"/>
      <c r="E3" s="42"/>
      <c r="F3" s="42"/>
      <c r="G3" s="42"/>
      <c r="H3" s="42"/>
      <c r="I3" s="42"/>
      <c r="J3" s="42"/>
    </row>
    <row r="5" spans="2:10">
      <c r="B5" s="13" t="s">
        <v>36</v>
      </c>
      <c r="C5" s="13" t="s">
        <v>64</v>
      </c>
      <c r="D5" s="13" t="s">
        <v>38</v>
      </c>
      <c r="E5" s="13" t="s">
        <v>39</v>
      </c>
      <c r="F5" s="13" t="s">
        <v>40</v>
      </c>
      <c r="G5" s="13" t="s">
        <v>65</v>
      </c>
      <c r="H5" s="13" t="s">
        <v>66</v>
      </c>
      <c r="I5" s="13" t="s">
        <v>67</v>
      </c>
    </row>
    <row r="6" spans="2:10">
      <c r="B6" s="18" t="s">
        <v>68</v>
      </c>
      <c r="C6" s="11" t="s">
        <v>69</v>
      </c>
      <c r="D6" s="15">
        <v>15.8</v>
      </c>
      <c r="E6" s="15">
        <v>17.2</v>
      </c>
      <c r="F6" s="15">
        <v>13.4</v>
      </c>
      <c r="G6" s="24" t="s">
        <v>40</v>
      </c>
      <c r="H6" s="15">
        <v>17.600000000000001</v>
      </c>
      <c r="I6" s="25" t="s">
        <v>70</v>
      </c>
    </row>
    <row r="7" spans="2:10">
      <c r="B7" s="11"/>
      <c r="C7" s="11" t="s">
        <v>71</v>
      </c>
      <c r="D7" s="15">
        <v>2.4</v>
      </c>
      <c r="E7" s="15">
        <v>2.6</v>
      </c>
      <c r="F7" s="15">
        <v>3.1</v>
      </c>
      <c r="G7" s="24" t="s">
        <v>40</v>
      </c>
      <c r="H7" s="15">
        <v>2.2999999999999998</v>
      </c>
      <c r="I7" s="25" t="s">
        <v>72</v>
      </c>
    </row>
    <row r="8" spans="2:10">
      <c r="B8" s="11"/>
      <c r="C8" s="11" t="s">
        <v>73</v>
      </c>
      <c r="D8" s="15">
        <v>72</v>
      </c>
      <c r="E8" s="15">
        <v>78</v>
      </c>
      <c r="F8" s="15">
        <v>81</v>
      </c>
      <c r="G8" s="24" t="s">
        <v>40</v>
      </c>
      <c r="H8" s="15">
        <v>74</v>
      </c>
      <c r="I8" s="25" t="s">
        <v>74</v>
      </c>
    </row>
    <row r="9" spans="2:10">
      <c r="B9" s="18" t="s">
        <v>52</v>
      </c>
      <c r="C9" s="11" t="s">
        <v>69</v>
      </c>
      <c r="D9" s="15">
        <v>16.399999999999999</v>
      </c>
      <c r="E9" s="15">
        <v>18.100000000000001</v>
      </c>
      <c r="F9" s="15">
        <v>14.2</v>
      </c>
      <c r="G9" s="24" t="s">
        <v>40</v>
      </c>
      <c r="H9" s="15">
        <v>18.5</v>
      </c>
      <c r="I9" s="25" t="s">
        <v>75</v>
      </c>
    </row>
    <row r="10" spans="2:10">
      <c r="B10" s="11"/>
      <c r="C10" s="11" t="s">
        <v>71</v>
      </c>
      <c r="D10" s="15">
        <v>2.2000000000000002</v>
      </c>
      <c r="E10" s="15">
        <v>2.4</v>
      </c>
      <c r="F10" s="15">
        <v>3</v>
      </c>
      <c r="G10" s="24" t="s">
        <v>40</v>
      </c>
      <c r="H10" s="15">
        <v>2.2000000000000002</v>
      </c>
      <c r="I10" s="25" t="s">
        <v>76</v>
      </c>
    </row>
    <row r="11" spans="2:10">
      <c r="B11" s="11"/>
      <c r="C11" s="11" t="s">
        <v>73</v>
      </c>
      <c r="D11" s="15">
        <v>68</v>
      </c>
      <c r="E11" s="15">
        <v>74</v>
      </c>
      <c r="F11" s="15">
        <v>78</v>
      </c>
      <c r="G11" s="24" t="s">
        <v>40</v>
      </c>
      <c r="H11" s="15">
        <v>71</v>
      </c>
      <c r="I11" s="25" t="s">
        <v>77</v>
      </c>
    </row>
    <row r="12" spans="2:10">
      <c r="B12" s="18" t="s">
        <v>53</v>
      </c>
      <c r="C12" s="11" t="s">
        <v>69</v>
      </c>
      <c r="D12" s="15">
        <v>17.5</v>
      </c>
      <c r="E12" s="15">
        <v>18.899999999999999</v>
      </c>
      <c r="F12" s="15">
        <v>15.6</v>
      </c>
      <c r="G12" s="24" t="s">
        <v>40</v>
      </c>
      <c r="H12" s="15">
        <v>19.399999999999999</v>
      </c>
      <c r="I12" s="25" t="s">
        <v>78</v>
      </c>
    </row>
    <row r="13" spans="2:10">
      <c r="B13" s="11"/>
      <c r="C13" s="11" t="s">
        <v>71</v>
      </c>
      <c r="D13" s="15">
        <v>2.1</v>
      </c>
      <c r="E13" s="15">
        <v>2.2999999999999998</v>
      </c>
      <c r="F13" s="15">
        <v>2.8</v>
      </c>
      <c r="G13" s="24" t="s">
        <v>40</v>
      </c>
      <c r="H13" s="15">
        <v>2.1</v>
      </c>
      <c r="I13" s="25" t="s">
        <v>76</v>
      </c>
    </row>
    <row r="14" spans="2:10">
      <c r="B14" s="11"/>
      <c r="C14" s="11" t="s">
        <v>73</v>
      </c>
      <c r="D14" s="15">
        <v>65</v>
      </c>
      <c r="E14" s="15">
        <v>71</v>
      </c>
      <c r="F14" s="15">
        <v>76</v>
      </c>
      <c r="G14" s="24" t="s">
        <v>40</v>
      </c>
      <c r="H14" s="15">
        <v>69</v>
      </c>
      <c r="I14" s="25" t="s">
        <v>74</v>
      </c>
    </row>
    <row r="15" spans="2:10">
      <c r="B15" s="18" t="s">
        <v>79</v>
      </c>
      <c r="C15" s="11" t="s">
        <v>69</v>
      </c>
      <c r="D15" s="15">
        <v>13.2</v>
      </c>
      <c r="E15" s="15">
        <v>14.5</v>
      </c>
      <c r="F15" s="15">
        <v>11.1</v>
      </c>
      <c r="G15" s="24" t="s">
        <v>40</v>
      </c>
      <c r="H15" s="15">
        <v>15</v>
      </c>
      <c r="I15" s="25" t="s">
        <v>80</v>
      </c>
    </row>
    <row r="16" spans="2:10">
      <c r="B16" s="11"/>
      <c r="C16" s="11" t="s">
        <v>71</v>
      </c>
      <c r="D16" s="15">
        <v>3.2</v>
      </c>
      <c r="E16" s="15">
        <v>3.4</v>
      </c>
      <c r="F16" s="15">
        <v>4</v>
      </c>
      <c r="G16" s="24" t="s">
        <v>40</v>
      </c>
      <c r="H16" s="15">
        <v>3.1</v>
      </c>
      <c r="I16" s="25" t="s">
        <v>81</v>
      </c>
    </row>
    <row r="17" spans="2:9">
      <c r="B17" s="11"/>
      <c r="C17" s="11" t="s">
        <v>73</v>
      </c>
      <c r="D17" s="15">
        <v>78</v>
      </c>
      <c r="E17" s="15">
        <v>82</v>
      </c>
      <c r="F17" s="15">
        <v>86</v>
      </c>
      <c r="G17" s="24" t="s">
        <v>40</v>
      </c>
      <c r="H17" s="15">
        <v>79</v>
      </c>
      <c r="I17" s="25" t="s">
        <v>82</v>
      </c>
    </row>
    <row r="18" spans="2:9">
      <c r="B18" s="18" t="s">
        <v>55</v>
      </c>
      <c r="C18" s="11" t="s">
        <v>69</v>
      </c>
      <c r="D18" s="15">
        <v>14.6</v>
      </c>
      <c r="E18" s="15">
        <v>15.2</v>
      </c>
      <c r="F18" s="15">
        <v>12.4</v>
      </c>
      <c r="G18" s="24" t="s">
        <v>40</v>
      </c>
      <c r="H18" s="15">
        <v>15.8</v>
      </c>
      <c r="I18" s="25" t="s">
        <v>83</v>
      </c>
    </row>
    <row r="19" spans="2:9">
      <c r="B19" s="11"/>
      <c r="C19" s="11" t="s">
        <v>71</v>
      </c>
      <c r="D19" s="15">
        <v>2.9</v>
      </c>
      <c r="E19" s="15">
        <v>3</v>
      </c>
      <c r="F19" s="15">
        <v>3.5</v>
      </c>
      <c r="G19" s="24" t="s">
        <v>40</v>
      </c>
      <c r="H19" s="15">
        <v>2.8</v>
      </c>
      <c r="I19" s="25" t="s">
        <v>72</v>
      </c>
    </row>
    <row r="20" spans="2:9">
      <c r="B20" s="11"/>
      <c r="C20" s="11" t="s">
        <v>73</v>
      </c>
      <c r="D20" s="15">
        <v>74</v>
      </c>
      <c r="E20" s="15">
        <v>78</v>
      </c>
      <c r="F20" s="15">
        <v>82</v>
      </c>
      <c r="G20" s="24" t="s">
        <v>40</v>
      </c>
      <c r="H20" s="15">
        <v>76</v>
      </c>
      <c r="I20" s="25" t="s">
        <v>74</v>
      </c>
    </row>
    <row r="21" spans="2:9">
      <c r="B21" s="18" t="s">
        <v>84</v>
      </c>
      <c r="C21" s="11" t="s">
        <v>69</v>
      </c>
      <c r="D21" s="15">
        <v>28.5</v>
      </c>
      <c r="E21" s="15">
        <v>26.4</v>
      </c>
      <c r="F21" s="15">
        <v>24.2</v>
      </c>
      <c r="G21" s="24" t="s">
        <v>40</v>
      </c>
      <c r="H21" s="15">
        <v>29.6</v>
      </c>
      <c r="I21" s="25" t="s">
        <v>85</v>
      </c>
    </row>
    <row r="22" spans="2:9">
      <c r="B22" s="11"/>
      <c r="C22" s="11" t="s">
        <v>71</v>
      </c>
      <c r="D22" s="15">
        <v>1.6</v>
      </c>
      <c r="E22" s="15">
        <v>1.8</v>
      </c>
      <c r="F22" s="15">
        <v>2</v>
      </c>
      <c r="G22" s="24" t="s">
        <v>40</v>
      </c>
      <c r="H22" s="15">
        <v>1.5</v>
      </c>
      <c r="I22" s="25" t="s">
        <v>72</v>
      </c>
    </row>
    <row r="23" spans="2:9">
      <c r="B23" s="11"/>
      <c r="C23" s="11" t="s">
        <v>73</v>
      </c>
      <c r="D23" s="15">
        <v>62</v>
      </c>
      <c r="E23" s="15">
        <v>66</v>
      </c>
      <c r="F23" s="15">
        <v>70</v>
      </c>
      <c r="G23" s="24" t="s">
        <v>40</v>
      </c>
      <c r="H23" s="15">
        <v>64</v>
      </c>
      <c r="I23" s="25" t="s">
        <v>77</v>
      </c>
    </row>
  </sheetData>
  <mergeCells count="2">
    <mergeCell ref="B2:J2"/>
    <mergeCell ref="B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4"/>
  <sheetViews>
    <sheetView showGridLines="0" zoomScaleNormal="100" workbookViewId="0"/>
  </sheetViews>
  <sheetFormatPr defaultColWidth="8.7109375" defaultRowHeight="15"/>
  <cols>
    <col min="1" max="1" width="2" customWidth="1"/>
    <col min="2" max="2" width="32" customWidth="1"/>
    <col min="3" max="5" width="13" customWidth="1"/>
    <col min="6" max="8" width="12" customWidth="1"/>
    <col min="9" max="9" width="18" customWidth="1"/>
  </cols>
  <sheetData>
    <row r="2" spans="2:9" ht="17.45">
      <c r="B2" s="43" t="s">
        <v>86</v>
      </c>
      <c r="C2" s="43"/>
      <c r="D2" s="43"/>
      <c r="E2" s="43"/>
      <c r="F2" s="43"/>
      <c r="G2" s="43"/>
      <c r="H2" s="43"/>
      <c r="I2" s="43"/>
    </row>
    <row r="3" spans="2:9">
      <c r="B3" s="42" t="s">
        <v>87</v>
      </c>
      <c r="C3" s="42"/>
      <c r="D3" s="42"/>
      <c r="E3" s="42"/>
      <c r="F3" s="42"/>
      <c r="G3" s="42"/>
      <c r="H3" s="42"/>
      <c r="I3" s="42"/>
    </row>
    <row r="5" spans="2:9" ht="21.75" customHeight="1">
      <c r="B5" s="13" t="s">
        <v>36</v>
      </c>
      <c r="C5" s="3" t="s">
        <v>88</v>
      </c>
      <c r="D5" s="3"/>
      <c r="E5" s="3"/>
      <c r="F5" s="3" t="s">
        <v>89</v>
      </c>
      <c r="G5" s="3"/>
      <c r="H5" s="3"/>
      <c r="I5" s="13" t="s">
        <v>90</v>
      </c>
    </row>
    <row r="6" spans="2:9" ht="18" customHeight="1">
      <c r="C6" s="14" t="s">
        <v>38</v>
      </c>
      <c r="D6" s="14" t="s">
        <v>39</v>
      </c>
      <c r="E6" s="14" t="s">
        <v>40</v>
      </c>
      <c r="F6" s="14" t="s">
        <v>38</v>
      </c>
      <c r="G6" s="14" t="s">
        <v>39</v>
      </c>
      <c r="H6" s="14" t="s">
        <v>40</v>
      </c>
    </row>
    <row r="7" spans="2:9">
      <c r="B7" s="10" t="s">
        <v>45</v>
      </c>
      <c r="C7" s="26">
        <v>78000</v>
      </c>
      <c r="D7" s="26">
        <v>54000</v>
      </c>
      <c r="E7" s="26">
        <v>41000</v>
      </c>
      <c r="F7" s="27">
        <v>8</v>
      </c>
      <c r="G7" s="27">
        <v>7</v>
      </c>
      <c r="H7" s="27">
        <v>9</v>
      </c>
      <c r="I7" s="24" t="s">
        <v>49</v>
      </c>
    </row>
    <row r="8" spans="2:9">
      <c r="B8" s="10" t="s">
        <v>52</v>
      </c>
      <c r="C8" s="26">
        <v>34000</v>
      </c>
      <c r="D8" s="26">
        <v>19000</v>
      </c>
      <c r="E8" s="26">
        <v>14000</v>
      </c>
      <c r="F8" s="27">
        <v>10</v>
      </c>
      <c r="G8" s="27">
        <v>11</v>
      </c>
      <c r="H8" s="27">
        <v>13</v>
      </c>
      <c r="I8" s="24" t="s">
        <v>38</v>
      </c>
    </row>
    <row r="9" spans="2:9">
      <c r="B9" s="10" t="s">
        <v>53</v>
      </c>
      <c r="C9" s="26">
        <v>22000</v>
      </c>
      <c r="D9" s="26">
        <v>15500</v>
      </c>
      <c r="E9" s="26">
        <v>9800</v>
      </c>
      <c r="F9" s="27">
        <v>11</v>
      </c>
      <c r="G9" s="27">
        <v>10</v>
      </c>
      <c r="H9" s="27">
        <v>13</v>
      </c>
      <c r="I9" s="24" t="s">
        <v>49</v>
      </c>
    </row>
    <row r="10" spans="2:9">
      <c r="B10" s="10" t="s">
        <v>79</v>
      </c>
      <c r="C10" s="26">
        <v>28000</v>
      </c>
      <c r="D10" s="26">
        <v>24000</v>
      </c>
      <c r="E10" s="26">
        <v>36500</v>
      </c>
      <c r="F10" s="27">
        <v>6</v>
      </c>
      <c r="G10" s="27">
        <v>6</v>
      </c>
      <c r="H10" s="27">
        <v>5</v>
      </c>
      <c r="I10" s="24" t="s">
        <v>40</v>
      </c>
    </row>
    <row r="11" spans="2:9">
      <c r="B11" s="10" t="s">
        <v>55</v>
      </c>
      <c r="C11" s="26">
        <v>12000</v>
      </c>
      <c r="D11" s="26">
        <v>9500</v>
      </c>
      <c r="E11" s="26">
        <v>11000</v>
      </c>
      <c r="F11" s="27">
        <v>7</v>
      </c>
      <c r="G11" s="27">
        <v>7</v>
      </c>
      <c r="H11" s="27">
        <v>6</v>
      </c>
      <c r="I11" s="24" t="s">
        <v>40</v>
      </c>
    </row>
    <row r="12" spans="2:9">
      <c r="B12" s="10" t="s">
        <v>91</v>
      </c>
      <c r="C12" s="26">
        <v>46000</v>
      </c>
      <c r="D12" s="26">
        <v>52000</v>
      </c>
      <c r="E12" s="26">
        <v>44000</v>
      </c>
      <c r="F12" s="27">
        <v>4</v>
      </c>
      <c r="G12" s="27">
        <v>4</v>
      </c>
      <c r="H12" s="27">
        <v>4</v>
      </c>
      <c r="I12" s="24" t="s">
        <v>39</v>
      </c>
    </row>
    <row r="14" spans="2:9">
      <c r="B14" s="28" t="s">
        <v>92</v>
      </c>
      <c r="C14" s="29">
        <f>SUM(C7:C12)</f>
        <v>220000</v>
      </c>
      <c r="D14" s="29">
        <f>SUM(D7:D12)</f>
        <v>174000</v>
      </c>
      <c r="E14" s="29">
        <f>SUM(E7:E12)</f>
        <v>156300</v>
      </c>
    </row>
  </sheetData>
  <mergeCells count="4">
    <mergeCell ref="B2:I2"/>
    <mergeCell ref="B3:I3"/>
    <mergeCell ref="C5:E5"/>
    <mergeCell ref="F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4"/>
  <sheetViews>
    <sheetView showGridLines="0" zoomScaleNormal="100" workbookViewId="0"/>
  </sheetViews>
  <sheetFormatPr defaultColWidth="8.7109375" defaultRowHeight="15"/>
  <cols>
    <col min="1" max="1" width="2" customWidth="1"/>
    <col min="2" max="2" width="30" customWidth="1"/>
    <col min="3" max="5" width="12" customWidth="1"/>
    <col min="6" max="6" width="14" customWidth="1"/>
    <col min="7" max="7" width="45" customWidth="1"/>
  </cols>
  <sheetData>
    <row r="2" spans="2:7" ht="17.45">
      <c r="B2" s="43" t="s">
        <v>93</v>
      </c>
      <c r="C2" s="43"/>
      <c r="D2" s="43"/>
      <c r="E2" s="43"/>
      <c r="F2" s="43"/>
      <c r="G2" s="43"/>
    </row>
    <row r="3" spans="2:7">
      <c r="B3" s="42" t="s">
        <v>94</v>
      </c>
      <c r="C3" s="42"/>
      <c r="D3" s="42"/>
      <c r="E3" s="42"/>
      <c r="F3" s="42"/>
      <c r="G3" s="42"/>
    </row>
    <row r="5" spans="2:7">
      <c r="B5" s="13" t="s">
        <v>36</v>
      </c>
      <c r="C5" s="13" t="s">
        <v>38</v>
      </c>
      <c r="D5" s="13" t="s">
        <v>39</v>
      </c>
      <c r="E5" s="13" t="s">
        <v>40</v>
      </c>
      <c r="F5" s="13" t="s">
        <v>65</v>
      </c>
      <c r="G5" s="13" t="s">
        <v>95</v>
      </c>
    </row>
    <row r="6" spans="2:7">
      <c r="B6" s="10" t="s">
        <v>68</v>
      </c>
      <c r="C6" s="30">
        <v>100</v>
      </c>
      <c r="D6" s="27">
        <v>96</v>
      </c>
      <c r="E6" s="27">
        <v>88</v>
      </c>
      <c r="F6" s="31" t="s">
        <v>38</v>
      </c>
      <c r="G6" s="11" t="s">
        <v>96</v>
      </c>
    </row>
    <row r="7" spans="2:7">
      <c r="B7" s="10" t="s">
        <v>52</v>
      </c>
      <c r="C7" s="30">
        <v>100</v>
      </c>
      <c r="D7" s="27">
        <v>91</v>
      </c>
      <c r="E7" s="27">
        <v>82</v>
      </c>
      <c r="F7" s="31" t="s">
        <v>38</v>
      </c>
      <c r="G7" s="11" t="s">
        <v>97</v>
      </c>
    </row>
    <row r="8" spans="2:7">
      <c r="B8" s="10" t="s">
        <v>53</v>
      </c>
      <c r="C8" s="30">
        <v>100</v>
      </c>
      <c r="D8" s="27">
        <v>94</v>
      </c>
      <c r="E8" s="27">
        <v>85</v>
      </c>
      <c r="F8" s="31" t="s">
        <v>38</v>
      </c>
      <c r="G8" s="11" t="s">
        <v>98</v>
      </c>
    </row>
    <row r="9" spans="2:7">
      <c r="B9" s="10" t="s">
        <v>79</v>
      </c>
      <c r="C9" s="27">
        <v>92</v>
      </c>
      <c r="D9" s="27">
        <v>90</v>
      </c>
      <c r="E9" s="30">
        <v>98</v>
      </c>
      <c r="F9" s="31" t="s">
        <v>40</v>
      </c>
      <c r="G9" s="11" t="s">
        <v>99</v>
      </c>
    </row>
    <row r="10" spans="2:7">
      <c r="B10" s="10" t="s">
        <v>55</v>
      </c>
      <c r="C10" s="27">
        <v>95</v>
      </c>
      <c r="D10" s="27">
        <v>92</v>
      </c>
      <c r="E10" s="30">
        <v>96</v>
      </c>
      <c r="F10" s="31" t="s">
        <v>40</v>
      </c>
      <c r="G10" s="11" t="s">
        <v>100</v>
      </c>
    </row>
    <row r="11" spans="2:7">
      <c r="B11" s="10" t="s">
        <v>84</v>
      </c>
      <c r="C11" s="27">
        <v>88</v>
      </c>
      <c r="D11" s="30">
        <v>94</v>
      </c>
      <c r="E11" s="27">
        <v>92</v>
      </c>
      <c r="F11" s="31" t="s">
        <v>39</v>
      </c>
      <c r="G11" s="11" t="s">
        <v>101</v>
      </c>
    </row>
    <row r="12" spans="2:7">
      <c r="B12" s="10" t="s">
        <v>102</v>
      </c>
      <c r="C12" s="30">
        <v>100</v>
      </c>
      <c r="D12" s="27">
        <v>82</v>
      </c>
      <c r="E12" s="27">
        <v>74</v>
      </c>
      <c r="F12" s="31" t="s">
        <v>38</v>
      </c>
      <c r="G12" s="11" t="s">
        <v>103</v>
      </c>
    </row>
    <row r="14" spans="2:7" ht="23.85">
      <c r="B14" s="21" t="s">
        <v>104</v>
      </c>
      <c r="C14" s="32">
        <f>ROUND((C6*0.3+C7*0.15+C8*0.1+C9*0.2+C10*0.1+C11*0.15),1)</f>
        <v>96.1</v>
      </c>
      <c r="D14" s="32">
        <f>ROUND((D6*0.3+D7*0.15+D8*0.1+D9*0.2+D10*0.1+D11*0.15),1)</f>
        <v>93.2</v>
      </c>
      <c r="E14" s="32">
        <f>ROUND((E6*0.3+E7*0.15+E8*0.1+E9*0.2+E10*0.1+E11*0.15),1)</f>
        <v>90.2</v>
      </c>
    </row>
  </sheetData>
  <mergeCells count="2">
    <mergeCell ref="B2:G2"/>
    <mergeCell ref="B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6"/>
  <sheetViews>
    <sheetView showGridLines="0" zoomScaleNormal="100" workbookViewId="0"/>
  </sheetViews>
  <sheetFormatPr defaultColWidth="8.7109375" defaultRowHeight="15"/>
  <cols>
    <col min="1" max="1" width="2" customWidth="1"/>
    <col min="2" max="2" width="30" customWidth="1"/>
    <col min="3" max="3" width="13" customWidth="1"/>
    <col min="4" max="7" width="11" customWidth="1"/>
    <col min="8" max="8" width="12" customWidth="1"/>
  </cols>
  <sheetData>
    <row r="2" spans="2:8" ht="17.45">
      <c r="B2" s="43" t="s">
        <v>105</v>
      </c>
      <c r="C2" s="43"/>
      <c r="D2" s="43"/>
      <c r="E2" s="43"/>
      <c r="F2" s="43"/>
      <c r="G2" s="43"/>
      <c r="H2" s="43"/>
    </row>
    <row r="3" spans="2:8">
      <c r="B3" s="42" t="s">
        <v>106</v>
      </c>
      <c r="C3" s="42"/>
      <c r="D3" s="42"/>
      <c r="E3" s="42"/>
      <c r="F3" s="42"/>
      <c r="G3" s="42"/>
      <c r="H3" s="42"/>
    </row>
    <row r="5" spans="2:8">
      <c r="B5" s="13" t="s">
        <v>36</v>
      </c>
      <c r="C5" s="13" t="s">
        <v>107</v>
      </c>
      <c r="D5" s="13" t="s">
        <v>108</v>
      </c>
      <c r="E5" s="13" t="s">
        <v>109</v>
      </c>
      <c r="F5" s="13" t="s">
        <v>110</v>
      </c>
      <c r="G5" s="13" t="s">
        <v>111</v>
      </c>
      <c r="H5" s="13" t="s">
        <v>112</v>
      </c>
    </row>
    <row r="6" spans="2:8">
      <c r="B6" s="10" t="s">
        <v>68</v>
      </c>
      <c r="C6" s="33" t="s">
        <v>38</v>
      </c>
      <c r="D6" s="27">
        <v>95</v>
      </c>
      <c r="E6" s="27">
        <v>70</v>
      </c>
      <c r="F6" s="27">
        <v>30</v>
      </c>
      <c r="G6" s="27">
        <v>5</v>
      </c>
      <c r="H6" s="23">
        <f>SUM(D6:G6)</f>
        <v>200</v>
      </c>
    </row>
    <row r="7" spans="2:8">
      <c r="B7" s="10" t="s">
        <v>52</v>
      </c>
      <c r="C7" s="33" t="s">
        <v>38</v>
      </c>
      <c r="D7" s="27">
        <v>45</v>
      </c>
      <c r="E7" s="27">
        <v>35</v>
      </c>
      <c r="F7" s="27">
        <v>15</v>
      </c>
      <c r="G7" s="27">
        <v>3</v>
      </c>
      <c r="H7" s="23">
        <f>SUM(D7:G7)</f>
        <v>98</v>
      </c>
    </row>
    <row r="8" spans="2:8">
      <c r="B8" s="10" t="s">
        <v>53</v>
      </c>
      <c r="C8" s="33" t="s">
        <v>38</v>
      </c>
      <c r="D8" s="27">
        <v>30</v>
      </c>
      <c r="E8" s="27">
        <v>22</v>
      </c>
      <c r="F8" s="27">
        <v>10</v>
      </c>
      <c r="G8" s="27">
        <v>3</v>
      </c>
      <c r="H8" s="23">
        <f>SUM(D8:G8)</f>
        <v>65</v>
      </c>
    </row>
    <row r="9" spans="2:8">
      <c r="B9" s="10" t="s">
        <v>84</v>
      </c>
      <c r="C9" s="33" t="s">
        <v>38</v>
      </c>
      <c r="D9" s="27">
        <v>55</v>
      </c>
      <c r="E9" s="27">
        <v>25</v>
      </c>
      <c r="F9" s="27">
        <v>8</v>
      </c>
      <c r="G9" s="27">
        <v>2</v>
      </c>
      <c r="H9" s="23">
        <f>SUM(D9:G9)</f>
        <v>90</v>
      </c>
    </row>
    <row r="10" spans="2:8">
      <c r="B10" s="10" t="s">
        <v>113</v>
      </c>
      <c r="C10" s="33" t="s">
        <v>38</v>
      </c>
      <c r="D10" s="27">
        <v>15</v>
      </c>
      <c r="E10" s="27">
        <v>25</v>
      </c>
      <c r="F10" s="27">
        <v>12</v>
      </c>
      <c r="G10" s="27">
        <v>8</v>
      </c>
      <c r="H10" s="23">
        <f>SUM(D10:G10)</f>
        <v>60</v>
      </c>
    </row>
    <row r="11" spans="2:8">
      <c r="B11" s="10" t="s">
        <v>79</v>
      </c>
      <c r="C11" s="34" t="s">
        <v>40</v>
      </c>
      <c r="D11" s="27">
        <v>55</v>
      </c>
      <c r="E11" s="27">
        <v>40</v>
      </c>
      <c r="F11" s="27">
        <v>15</v>
      </c>
      <c r="G11" s="27">
        <v>4</v>
      </c>
      <c r="H11" s="23">
        <f>SUM(D11:G11)</f>
        <v>114</v>
      </c>
    </row>
    <row r="12" spans="2:8">
      <c r="B12" s="10" t="s">
        <v>114</v>
      </c>
      <c r="C12" s="34" t="s">
        <v>40</v>
      </c>
      <c r="D12" s="27">
        <v>20</v>
      </c>
      <c r="E12" s="27">
        <v>15</v>
      </c>
      <c r="F12" s="27">
        <v>6</v>
      </c>
      <c r="G12" s="27">
        <v>2</v>
      </c>
      <c r="H12" s="23">
        <f>SUM(D12:G12)</f>
        <v>43</v>
      </c>
    </row>
    <row r="13" spans="2:8">
      <c r="B13" s="10" t="s">
        <v>115</v>
      </c>
      <c r="C13" s="33" t="s">
        <v>38</v>
      </c>
      <c r="D13" s="27">
        <v>12</v>
      </c>
      <c r="E13" s="27">
        <v>8</v>
      </c>
      <c r="F13" s="27">
        <v>3</v>
      </c>
      <c r="G13" s="27">
        <v>1</v>
      </c>
      <c r="H13" s="23">
        <f>SUM(D13:G13)</f>
        <v>24</v>
      </c>
    </row>
    <row r="14" spans="2:8">
      <c r="B14" s="28" t="s">
        <v>116</v>
      </c>
      <c r="C14" s="35"/>
      <c r="D14" s="36">
        <f>SUM(D6:D13)</f>
        <v>327</v>
      </c>
      <c r="E14" s="36">
        <f>SUM(E6:E13)</f>
        <v>240</v>
      </c>
      <c r="F14" s="36">
        <f>SUM(F6:F13)</f>
        <v>99</v>
      </c>
      <c r="G14" s="36">
        <f>SUM(G6:G13)</f>
        <v>28</v>
      </c>
      <c r="H14" s="36">
        <f>SUM(H6:H13)</f>
        <v>694</v>
      </c>
    </row>
    <row r="16" spans="2:8">
      <c r="B16" s="21" t="s">
        <v>117</v>
      </c>
      <c r="C16" s="22"/>
      <c r="D16" s="37">
        <f>D14/$H$14</f>
        <v>0.47118155619596541</v>
      </c>
      <c r="E16" s="37">
        <f>E14/$H$14</f>
        <v>0.345821325648415</v>
      </c>
      <c r="F16" s="37">
        <f>F14/$H$14</f>
        <v>0.14265129682997119</v>
      </c>
      <c r="G16" s="37">
        <f>G14/$H$14</f>
        <v>4.0345821325648415E-2</v>
      </c>
      <c r="H16" s="37">
        <v>1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8"/>
  <sheetViews>
    <sheetView showGridLines="0" zoomScaleNormal="100" workbookViewId="0"/>
  </sheetViews>
  <sheetFormatPr defaultColWidth="8.7109375" defaultRowHeight="15"/>
  <cols>
    <col min="1" max="1" width="2" customWidth="1"/>
    <col min="2" max="2" width="40" customWidth="1"/>
    <col min="3" max="3" width="10" customWidth="1"/>
    <col min="4" max="6" width="13" customWidth="1"/>
  </cols>
  <sheetData>
    <row r="2" spans="2:6" ht="17.45">
      <c r="B2" s="43" t="s">
        <v>118</v>
      </c>
      <c r="C2" s="43"/>
      <c r="D2" s="43"/>
      <c r="E2" s="43"/>
      <c r="F2" s="43"/>
    </row>
    <row r="3" spans="2:6">
      <c r="B3" s="42" t="s">
        <v>119</v>
      </c>
      <c r="C3" s="42"/>
      <c r="D3" s="42"/>
      <c r="E3" s="42"/>
      <c r="F3" s="42"/>
    </row>
    <row r="5" spans="2:6">
      <c r="B5" s="13" t="s">
        <v>120</v>
      </c>
      <c r="C5" s="13" t="s">
        <v>121</v>
      </c>
      <c r="D5" s="13" t="s">
        <v>38</v>
      </c>
      <c r="E5" s="13" t="s">
        <v>39</v>
      </c>
      <c r="F5" s="13" t="s">
        <v>40</v>
      </c>
    </row>
    <row r="6" spans="2:6">
      <c r="B6" s="11" t="s">
        <v>122</v>
      </c>
      <c r="C6" s="38">
        <v>0.25</v>
      </c>
      <c r="D6" s="27">
        <v>5</v>
      </c>
      <c r="E6" s="27">
        <v>4</v>
      </c>
      <c r="F6" s="27">
        <v>3</v>
      </c>
    </row>
    <row r="7" spans="2:6">
      <c r="B7" s="11" t="s">
        <v>123</v>
      </c>
      <c r="C7" s="38">
        <v>0.15</v>
      </c>
      <c r="D7" s="27">
        <v>3</v>
      </c>
      <c r="E7" s="27">
        <v>3</v>
      </c>
      <c r="F7" s="27">
        <v>5</v>
      </c>
    </row>
    <row r="8" spans="2:6">
      <c r="B8" s="11" t="s">
        <v>124</v>
      </c>
      <c r="C8" s="38">
        <v>0.2</v>
      </c>
      <c r="D8" s="27">
        <v>3</v>
      </c>
      <c r="E8" s="27">
        <v>5</v>
      </c>
      <c r="F8" s="27">
        <v>5</v>
      </c>
    </row>
    <row r="9" spans="2:6">
      <c r="B9" s="11" t="s">
        <v>125</v>
      </c>
      <c r="C9" s="38">
        <v>0.15</v>
      </c>
      <c r="D9" s="27">
        <v>3</v>
      </c>
      <c r="E9" s="27">
        <v>3</v>
      </c>
      <c r="F9" s="27">
        <v>5</v>
      </c>
    </row>
    <row r="10" spans="2:6">
      <c r="B10" s="11" t="s">
        <v>126</v>
      </c>
      <c r="C10" s="38">
        <v>0.1</v>
      </c>
      <c r="D10" s="27">
        <v>5</v>
      </c>
      <c r="E10" s="27">
        <v>4</v>
      </c>
      <c r="F10" s="27">
        <v>3</v>
      </c>
    </row>
    <row r="11" spans="2:6">
      <c r="B11" s="11" t="s">
        <v>127</v>
      </c>
      <c r="C11" s="38">
        <v>0.1</v>
      </c>
      <c r="D11" s="27">
        <v>5</v>
      </c>
      <c r="E11" s="27">
        <v>3</v>
      </c>
      <c r="F11" s="27">
        <v>2</v>
      </c>
    </row>
    <row r="12" spans="2:6">
      <c r="B12" s="11" t="s">
        <v>128</v>
      </c>
      <c r="C12" s="38">
        <v>0.05</v>
      </c>
      <c r="D12" s="27">
        <v>3</v>
      </c>
      <c r="E12" s="27">
        <v>5</v>
      </c>
      <c r="F12" s="27">
        <v>4</v>
      </c>
    </row>
    <row r="13" spans="2:6">
      <c r="B13" s="28" t="s">
        <v>129</v>
      </c>
      <c r="C13" s="35"/>
      <c r="D13" s="39">
        <f>SUMPRODUCT($C6:$C12,D6:D12)</f>
        <v>3.9</v>
      </c>
      <c r="E13" s="39">
        <f>SUMPRODUCT($C6:$C12,E6:E12)</f>
        <v>3.8500000000000005</v>
      </c>
      <c r="F13" s="39">
        <f>SUMPRODUCT($C6:$C12,F6:F12)</f>
        <v>3.95</v>
      </c>
    </row>
    <row r="15" spans="2:6">
      <c r="B15" s="2" t="s">
        <v>130</v>
      </c>
      <c r="C15" s="2"/>
      <c r="D15" s="2"/>
      <c r="E15" s="2"/>
      <c r="F15" s="2"/>
    </row>
    <row r="16" spans="2:6" ht="24.75" customHeight="1">
      <c r="B16" s="1" t="s">
        <v>131</v>
      </c>
      <c r="C16" s="1"/>
      <c r="D16" s="1"/>
      <c r="E16" s="1"/>
      <c r="F16" s="1"/>
    </row>
    <row r="17" spans="2:6" ht="24.75" customHeight="1">
      <c r="B17" s="1"/>
      <c r="C17" s="1"/>
      <c r="D17" s="1"/>
      <c r="E17" s="1"/>
      <c r="F17" s="1"/>
    </row>
    <row r="18" spans="2:6" ht="24.75" customHeight="1">
      <c r="B18" s="1"/>
      <c r="C18" s="1"/>
      <c r="D18" s="1"/>
      <c r="E18" s="1"/>
      <c r="F18" s="1"/>
    </row>
  </sheetData>
  <mergeCells count="4">
    <mergeCell ref="B2:F2"/>
    <mergeCell ref="B3:F3"/>
    <mergeCell ref="B15:F15"/>
    <mergeCell ref="B16:F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Siddharth Mathapati</dc:creator>
  <cp:keywords/>
  <dc:description/>
  <cp:lastModifiedBy/>
  <cp:revision>0</cp:revision>
  <dcterms:created xsi:type="dcterms:W3CDTF">2026-07-22T15:46:48Z</dcterms:created>
  <dcterms:modified xsi:type="dcterms:W3CDTF">2026-07-22T15:54:34Z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bb76bd-f6d2-45bc-998e-d6f84e379b20_Enabled">
    <vt:lpwstr>true</vt:lpwstr>
  </property>
  <property fmtid="{D5CDD505-2E9C-101B-9397-08002B2CF9AE}" pid="3" name="MSIP_Label_20bb76bd-f6d2-45bc-998e-d6f84e379b20_SetDate">
    <vt:lpwstr>2026-07-22T15:46:48Z</vt:lpwstr>
  </property>
  <property fmtid="{D5CDD505-2E9C-101B-9397-08002B2CF9AE}" pid="4" name="MSIP_Label_20bb76bd-f6d2-45bc-998e-d6f84e379b20_Method">
    <vt:lpwstr>Standard</vt:lpwstr>
  </property>
  <property fmtid="{D5CDD505-2E9C-101B-9397-08002B2CF9AE}" pid="5" name="MSIP_Label_20bb76bd-f6d2-45bc-998e-d6f84e379b20_Name">
    <vt:lpwstr>Public</vt:lpwstr>
  </property>
  <property fmtid="{D5CDD505-2E9C-101B-9397-08002B2CF9AE}" pid="6" name="MSIP_Label_20bb76bd-f6d2-45bc-998e-d6f84e379b20_SiteId">
    <vt:lpwstr>b08407bb-0b20-4d4c-bba5-89a41710caaa</vt:lpwstr>
  </property>
  <property fmtid="{D5CDD505-2E9C-101B-9397-08002B2CF9AE}" pid="7" name="MSIP_Label_20bb76bd-f6d2-45bc-998e-d6f84e379b20_ActionId">
    <vt:lpwstr>69809623-2d46-48db-b93d-937d5fcdda6e</vt:lpwstr>
  </property>
  <property fmtid="{D5CDD505-2E9C-101B-9397-08002B2CF9AE}" pid="8" name="MSIP_Label_20bb76bd-f6d2-45bc-998e-d6f84e379b20_ContentBits">
    <vt:lpwstr>0</vt:lpwstr>
  </property>
</Properties>
</file>